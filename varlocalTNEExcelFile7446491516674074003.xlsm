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ms-office.activeX" PartName="/xl/activeX/activeX1.bin"/>
  <Override ContentType="application/vnd.ms-office.activeX+xml" PartName="/xl/activeX/activeX1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no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date1904="1" codeName="ThisWorkbook"/>
  <bookViews>
    <workbookView xWindow="-12" yWindow="4452" windowWidth="19440" windowHeight="4488" tabRatio="599" activeTab="2"/>
  </bookViews>
  <sheets>
    <sheet name="Instructions" sheetId="5" r:id="rId1"/>
    <sheet name="FORM" sheetId="1" r:id="rId2"/>
    <sheet name="Telephone" sheetId="2" r:id="rId3"/>
  </sheets>
  <definedNames>
    <definedName name="_xlnm.Print_Area" localSheetId="1">FORM!$B$1:$T$121</definedName>
    <definedName name="_xlnm.Print_Area" localSheetId="2">Telephone!$1:$1048576</definedName>
  </definedNames>
  <calcPr calcId="0"/>
</workbook>
</file>

<file path=xl/calcChain.xml><?xml version="1.0" encoding="utf-8"?>
<calcChain xmlns="http://schemas.openxmlformats.org/spreadsheetml/2006/main">
  <c r="N7" i="1" l="1"/>
  <c r="E8" i="1"/>
  <c r="E49" i="1" s="1"/>
  <c r="S19" i="1"/>
  <c r="N13" i="1"/>
  <c r="E15" i="1"/>
  <c r="F15" i="1"/>
  <c r="G15" i="1"/>
  <c r="H15" i="1"/>
  <c r="I15" i="1"/>
  <c r="J15" i="1"/>
  <c r="K15" i="1"/>
  <c r="T121" i="1"/>
  <c r="T113" i="1"/>
  <c r="M38" i="1"/>
  <c r="M47" i="1"/>
  <c r="T99" i="1"/>
  <c r="I99" i="1"/>
  <c r="T85" i="1"/>
  <c r="I85" i="1"/>
  <c r="T71" i="1"/>
  <c r="E26" i="1" l="1"/>
  <c r="F8" i="1"/>
  <c r="F32" i="1" s="1"/>
  <c r="E37" i="1"/>
  <c r="E39" i="1" s="1"/>
  <c r="E32" i="1"/>
  <c r="E41" i="1"/>
  <c r="E31" i="1"/>
  <c r="E43" i="1"/>
  <c r="E33" i="1" l="1"/>
  <c r="F43" i="1"/>
  <c r="F31" i="1"/>
  <c r="F33" i="1" s="1"/>
  <c r="F37" i="1"/>
  <c r="F39" i="1" s="1"/>
  <c r="F41" i="1"/>
  <c r="F49" i="1"/>
  <c r="G8" i="1"/>
  <c r="F26" i="1"/>
  <c r="F24" i="1"/>
  <c r="G24" i="1"/>
  <c r="H24" i="1"/>
  <c r="I24" i="1"/>
  <c r="J24" i="1"/>
  <c r="K24" i="1"/>
  <c r="E24" i="1"/>
  <c r="M20" i="1"/>
  <c r="M21" i="1"/>
  <c r="M22" i="1"/>
  <c r="M23" i="1"/>
  <c r="M25" i="1"/>
  <c r="M27" i="1"/>
  <c r="M28" i="1"/>
  <c r="M29" i="1"/>
  <c r="M30" i="1"/>
  <c r="M19" i="1"/>
  <c r="S37" i="1" s="1"/>
  <c r="M17" i="1"/>
  <c r="S36" i="1" s="1"/>
  <c r="M16" i="1"/>
  <c r="M14" i="1"/>
  <c r="S52" i="1" s="1"/>
  <c r="E51" i="1" l="1"/>
  <c r="F51" i="1"/>
  <c r="G37" i="1"/>
  <c r="G39" i="1" s="1"/>
  <c r="G43" i="1"/>
  <c r="G26" i="1"/>
  <c r="G31" i="1"/>
  <c r="G32" i="1"/>
  <c r="G49" i="1"/>
  <c r="H8" i="1"/>
  <c r="G41" i="1"/>
  <c r="M24" i="1"/>
  <c r="S38" i="1" s="1"/>
  <c r="G33" i="1" l="1"/>
  <c r="H41" i="1"/>
  <c r="I8" i="1"/>
  <c r="H26" i="1"/>
  <c r="H37" i="1"/>
  <c r="H39" i="1" s="1"/>
  <c r="H49" i="1"/>
  <c r="H32" i="1"/>
  <c r="H31" i="1"/>
  <c r="H43" i="1"/>
  <c r="G51" i="1"/>
  <c r="L51" i="1"/>
  <c r="G8" i="2"/>
  <c r="H9" i="2" s="1"/>
  <c r="H11" i="2"/>
  <c r="H12" i="2"/>
  <c r="H13" i="2"/>
  <c r="H20" i="2"/>
  <c r="H21" i="2"/>
  <c r="C30" i="2"/>
  <c r="H22" i="2" l="1"/>
  <c r="H33" i="1"/>
  <c r="I32" i="1"/>
  <c r="I49" i="1"/>
  <c r="I37" i="1"/>
  <c r="I39" i="1" s="1"/>
  <c r="I43" i="1"/>
  <c r="I41" i="1"/>
  <c r="J8" i="1"/>
  <c r="I26" i="1"/>
  <c r="I31" i="1"/>
  <c r="H51" i="1"/>
  <c r="H14" i="2"/>
  <c r="I9" i="1"/>
  <c r="N49" i="1"/>
  <c r="S12" i="1" s="1"/>
  <c r="H9" i="1"/>
  <c r="F9" i="1"/>
  <c r="G9" i="1"/>
  <c r="E9" i="1"/>
  <c r="H25" i="2" l="1"/>
  <c r="D31" i="2" s="1"/>
  <c r="C31" i="2" s="1"/>
  <c r="C32" i="2" s="1"/>
  <c r="K45" i="1" s="1"/>
  <c r="M45" i="1" s="1"/>
  <c r="J9" i="1"/>
  <c r="J49" i="1"/>
  <c r="I33" i="1"/>
  <c r="J43" i="1"/>
  <c r="J31" i="1"/>
  <c r="K8" i="1"/>
  <c r="J41" i="1"/>
  <c r="J26" i="1"/>
  <c r="J37" i="1"/>
  <c r="J39" i="1" s="1"/>
  <c r="J32" i="1"/>
  <c r="I51" i="1"/>
  <c r="M15" i="1"/>
  <c r="D32" i="2"/>
  <c r="J33" i="1" l="1"/>
  <c r="K49" i="1"/>
  <c r="M49" i="1" s="1"/>
  <c r="S49" i="1" s="1"/>
  <c r="S43" i="1"/>
  <c r="K43" i="1"/>
  <c r="M43" i="1" s="1"/>
  <c r="K31" i="1"/>
  <c r="K9" i="1"/>
  <c r="K32" i="1"/>
  <c r="M32" i="1" s="1"/>
  <c r="K37" i="1"/>
  <c r="K26" i="1"/>
  <c r="M26" i="1" s="1"/>
  <c r="K41" i="1"/>
  <c r="M41" i="1" s="1"/>
  <c r="J51" i="1"/>
  <c r="K33" i="1" l="1"/>
  <c r="S39" i="1"/>
  <c r="M37" i="1"/>
  <c r="K39" i="1"/>
  <c r="M39" i="1" s="1"/>
  <c r="S44" i="1" s="1"/>
  <c r="M31" i="1"/>
  <c r="K51" i="1" l="1"/>
  <c r="M54" i="1"/>
  <c r="K54" i="1" s="1"/>
  <c r="S47" i="1"/>
  <c r="M33" i="1"/>
  <c r="S40" i="1" s="1"/>
  <c r="M51" i="1" l="1"/>
  <c r="S11" i="1" s="1"/>
  <c r="S13" i="1" s="1"/>
  <c r="S54" i="1"/>
  <c r="S23" i="1" l="1"/>
  <c r="P10" i="1"/>
  <c r="S21" i="1"/>
</calcChain>
</file>

<file path=xl/comments1.xml><?xml version="1.0" encoding="utf-8"?>
<comments xmlns="http://schemas.openxmlformats.org/spreadsheetml/2006/main">
  <authors>
    <author>Jeslin Ong</author>
    <author>Teradyne</author>
    <author>OngJ</author>
    <author>Judy Wong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TYPE ONLY ON THE YELLOW SHADED CELLS &amp; "USE DIFFERENT SHEETS FOR EACH DIFFERENT CURRENCY" (if feasible)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7" authorId="0">
      <text>
        <r>
          <rPr>
            <b/>
            <sz val="8"/>
            <color indexed="81"/>
            <rFont val="Tahoma"/>
            <family val="2"/>
          </rPr>
          <t>ENTER COUNTRY OF ORIGIN</t>
        </r>
        <r>
          <rPr>
            <b/>
            <sz val="10"/>
            <color indexed="81"/>
            <rFont val="Tahoma"/>
            <family val="2"/>
          </rPr>
          <t xml:space="preserve">
</t>
        </r>
      </text>
    </comment>
    <comment ref="D13" authorId="1">
      <text>
        <r>
          <rPr>
            <b/>
            <sz val="8"/>
            <color indexed="81"/>
            <rFont val="Times New Roman"/>
            <family val="1"/>
          </rPr>
          <t>ALL TRAVEL MUST BE BOOKED AND TICKETED THRU TERADYNE DESIGNATED TRAVEL AGENCY</t>
        </r>
      </text>
    </comment>
    <comment ref="D14" authorId="1">
      <text>
        <r>
          <rPr>
            <b/>
            <sz val="10"/>
            <color indexed="81"/>
            <rFont val="Times New Roman"/>
            <family val="1"/>
          </rPr>
          <t>Please provide explaination/supporting documents if booked thru other agencies.</t>
        </r>
      </text>
    </comment>
    <comment ref="D26" authorId="1">
      <text>
        <r>
          <rPr>
            <b/>
            <sz val="12"/>
            <color indexed="81"/>
            <rFont val="Times New Roman"/>
            <family val="1"/>
          </rPr>
          <t>Enter in section [A] below</t>
        </r>
      </text>
    </comment>
    <comment ref="D31" authorId="1">
      <text>
        <r>
          <rPr>
            <b/>
            <sz val="12"/>
            <color indexed="81"/>
            <rFont val="Times New Roman"/>
            <family val="1"/>
          </rPr>
          <t>Enter in section [B] below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2" authorId="1">
      <text>
        <r>
          <rPr>
            <b/>
            <sz val="12"/>
            <color indexed="81"/>
            <rFont val="Times New Roman"/>
            <family val="1"/>
          </rPr>
          <t>Enter in section [C] below</t>
        </r>
      </text>
    </comment>
    <comment ref="P35" authorId="2">
      <text>
        <r>
          <rPr>
            <b/>
            <sz val="8"/>
            <color indexed="81"/>
            <rFont val="Tahoma"/>
            <family val="2"/>
          </rPr>
          <t>FOR ACCOUNTING USE ONLY.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7" authorId="1">
      <text>
        <r>
          <rPr>
            <b/>
            <sz val="12"/>
            <color indexed="81"/>
            <rFont val="Times New Roman"/>
            <family val="1"/>
          </rPr>
          <t>Enter in section [D] below</t>
        </r>
      </text>
    </comment>
    <comment ref="D41" authorId="1">
      <text>
        <r>
          <rPr>
            <b/>
            <sz val="12"/>
            <color indexed="81"/>
            <rFont val="Times New Roman"/>
            <family val="1"/>
          </rPr>
          <t>Enter in section [E] below</t>
        </r>
      </text>
    </comment>
    <comment ref="D43" authorId="1">
      <text>
        <r>
          <rPr>
            <b/>
            <sz val="12"/>
            <color indexed="81"/>
            <rFont val="Times New Roman"/>
            <family val="1"/>
          </rPr>
          <t>Enter in section [F] below</t>
        </r>
      </text>
    </comment>
    <comment ref="D45" authorId="1">
      <text>
        <r>
          <rPr>
            <b/>
            <sz val="8"/>
            <color indexed="81"/>
            <rFont val="Tahoma"/>
            <family val="2"/>
          </rPr>
          <t xml:space="preserve">ENTER IN TEL CHARGES WORKSHEET OF THIS FILE </t>
        </r>
        <r>
          <rPr>
            <b/>
            <i/>
            <sz val="8"/>
            <color indexed="81"/>
            <rFont val="Tahoma"/>
            <family val="2"/>
          </rPr>
          <t>SEE BELOW</t>
        </r>
      </text>
    </comment>
    <comment ref="D47" authorId="1">
      <text>
        <r>
          <rPr>
            <b/>
            <sz val="8"/>
            <color indexed="81"/>
            <rFont val="Tahoma"/>
            <family val="2"/>
          </rPr>
          <t xml:space="preserve">ENTER IN TEL CHARGES WORKSHEET OF THIS FILE </t>
        </r>
        <r>
          <rPr>
            <b/>
            <i/>
            <sz val="8"/>
            <color indexed="81"/>
            <rFont val="Tahoma"/>
            <family val="2"/>
          </rPr>
          <t>SEE BELOW</t>
        </r>
      </text>
    </comment>
    <comment ref="D49" authorId="1">
      <text>
        <r>
          <rPr>
            <b/>
            <sz val="12"/>
            <color indexed="81"/>
            <rFont val="Times New Roman"/>
            <family val="1"/>
          </rPr>
          <t>Enter in section [H] below</t>
        </r>
      </text>
    </comment>
    <comment ref="M54" authorId="1">
      <text>
        <r>
          <rPr>
            <b/>
            <sz val="11"/>
            <color indexed="81"/>
            <rFont val="Tahoma"/>
            <family val="2"/>
          </rPr>
          <t>IF ERROR MSG OCCURS, PLEASE REFER TO INSTRUCTION &amp; TRIP ITEM NO.5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1" authorId="1">
      <text>
        <r>
          <rPr>
            <b/>
            <sz val="11"/>
            <color indexed="81"/>
            <rFont val="Times New Roman"/>
            <family val="1"/>
          </rPr>
          <t>Please enter MM/DD/YY for all the rows here</t>
        </r>
      </text>
    </comment>
    <comment ref="B73" authorId="1">
      <text>
        <r>
          <rPr>
            <b/>
            <sz val="11"/>
            <color indexed="81"/>
            <rFont val="Times New Roman"/>
            <family val="1"/>
          </rPr>
          <t>Please enter MM/DD/YY for all the rows here</t>
        </r>
      </text>
    </comment>
    <comment ref="K73" authorId="1">
      <text>
        <r>
          <rPr>
            <b/>
            <sz val="11"/>
            <color indexed="81"/>
            <rFont val="Times New Roman"/>
            <family val="1"/>
          </rPr>
          <t>Please enter MM/DD/YY for all the rows here</t>
        </r>
      </text>
    </comment>
    <comment ref="B87" authorId="1">
      <text>
        <r>
          <rPr>
            <b/>
            <sz val="11"/>
            <color indexed="81"/>
            <rFont val="Times New Roman"/>
            <family val="1"/>
          </rPr>
          <t>Please enter MM/DD/YY for all the rows here</t>
        </r>
      </text>
    </comment>
    <comment ref="J87" authorId="1">
      <text>
        <r>
          <rPr>
            <b/>
            <sz val="11"/>
            <color indexed="81"/>
            <rFont val="Times New Roman"/>
            <family val="1"/>
          </rPr>
          <t>Please enter MM/DD/YY for all the rows here</t>
        </r>
      </text>
    </comment>
    <comment ref="K87" authorId="1">
      <text>
        <r>
          <rPr>
            <b/>
            <sz val="11"/>
            <color indexed="81"/>
            <rFont val="Times New Roman"/>
            <family val="1"/>
          </rPr>
          <t>Please enter MM/DD/YY for all the rows here</t>
        </r>
      </text>
    </comment>
    <comment ref="B101" authorId="3">
      <text>
        <r>
          <rPr>
            <b/>
            <sz val="8"/>
            <color indexed="81"/>
            <rFont val="Tahoma"/>
            <family val="2"/>
          </rPr>
          <t xml:space="preserve">Eg. Local Buz Mtg $100.00 + tips $2 + GST $3.00 = $105.00, $100 enter in [$Before GST], $3.00 enter in [GST] and $2 enter in [G] - [Amount]. You can simply describe details as tips as per above. </t>
        </r>
      </text>
    </comment>
    <comment ref="B102" authorId="1">
      <text>
        <r>
          <rPr>
            <b/>
            <sz val="11"/>
            <color indexed="81"/>
            <rFont val="Times New Roman"/>
            <family val="1"/>
          </rPr>
          <t>Please enter MM/DD/YY for all the rows here</t>
        </r>
      </text>
    </comment>
    <comment ref="B115" authorId="1">
      <text>
        <r>
          <rPr>
            <b/>
            <sz val="11"/>
            <color indexed="81"/>
            <rFont val="Times New Roman"/>
            <family val="1"/>
          </rPr>
          <t>Please enter MM/DD/YY for all the rows here</t>
        </r>
      </text>
    </comment>
  </commentList>
</comments>
</file>

<file path=xl/comments2.xml><?xml version="1.0" encoding="utf-8"?>
<comments xmlns="http://schemas.openxmlformats.org/spreadsheetml/2006/main">
  <authors>
    <author>Teradyne</author>
  </authors>
  <commentList>
    <comment ref="G7" authorId="0">
      <text>
        <r>
          <rPr>
            <b/>
            <sz val="9"/>
            <color indexed="81"/>
            <rFont val="Tahoma"/>
            <family val="2"/>
          </rPr>
          <t>ENTER IN YELLOW BOXES ONLY. 
TO BE ENTER IN LOCAL $ ONLY.</t>
        </r>
      </text>
    </comment>
  </commentList>
</comments>
</file>

<file path=xl/sharedStrings.xml><?xml version="1.0" encoding="utf-8"?>
<sst xmlns="http://schemas.openxmlformats.org/spreadsheetml/2006/main" count="231" uniqueCount="161">
  <si>
    <t>NAME</t>
  </si>
  <si>
    <t>DEPARTMENT NO.</t>
  </si>
  <si>
    <t>EMPLOYEE NO.</t>
  </si>
  <si>
    <t>OFFICE LOCATION</t>
  </si>
  <si>
    <t xml:space="preserve">      WEEK NO.</t>
  </si>
  <si>
    <t>TOTAL</t>
  </si>
  <si>
    <t>ENTER TOTAL</t>
  </si>
  <si>
    <t>TOTAL EXPENSES</t>
  </si>
  <si>
    <t>CHARGED TO</t>
  </si>
  <si>
    <t>COMPANY</t>
  </si>
  <si>
    <t>PAID BY YOU</t>
  </si>
  <si>
    <t>FROM LAST REPORT</t>
  </si>
  <si>
    <t>ROOM</t>
  </si>
  <si>
    <t>CASH ADVANCED</t>
  </si>
  <si>
    <t>CAR RENTAL</t>
  </si>
  <si>
    <t>TOTAL BALANCE</t>
  </si>
  <si>
    <t>BREAKFAST</t>
  </si>
  <si>
    <t>DUE COMPANY OR</t>
  </si>
  <si>
    <t>LUNCH</t>
  </si>
  <si>
    <t>DINNER</t>
  </si>
  <si>
    <t>DUE EMPLOYEE</t>
  </si>
  <si>
    <t>LAUNDRY &amp; VALET</t>
  </si>
  <si>
    <t xml:space="preserve"> </t>
  </si>
  <si>
    <t>ACCOUNT NO</t>
  </si>
  <si>
    <t>DESCRIPTION</t>
  </si>
  <si>
    <t>MEALS</t>
  </si>
  <si>
    <t>TEL.</t>
  </si>
  <si>
    <t>TOTAL PER DAY</t>
  </si>
  <si>
    <t>*These itms must be explained in detail on the reverse side of this form.</t>
  </si>
  <si>
    <t>DATE</t>
  </si>
  <si>
    <t>AMOUNT</t>
  </si>
  <si>
    <t>T</t>
  </si>
  <si>
    <t>CITY OF DEPARTURE</t>
  </si>
  <si>
    <t>CITY OF DESTINATION</t>
  </si>
  <si>
    <t>LOCAL EXPENSE</t>
  </si>
  <si>
    <t>PLANE  CHARGED TO COMPANY</t>
  </si>
  <si>
    <t xml:space="preserve">BALANCE DUE CO. </t>
  </si>
  <si>
    <t>TAXI (LOCAL)</t>
  </si>
  <si>
    <t>TRAVEL OTHERS</t>
  </si>
  <si>
    <t>OTHERS</t>
  </si>
  <si>
    <t>Amt to claim</t>
  </si>
  <si>
    <t>%</t>
  </si>
  <si>
    <t>Local airtime call</t>
  </si>
  <si>
    <t>Est percentage of calls relating to business (%)</t>
  </si>
  <si>
    <t>Business IDD/ STD/autoroam calls</t>
  </si>
  <si>
    <t>Subscription fee - GSM</t>
  </si>
  <si>
    <t>FOR ACCOUNTING PURPOSES ONLY</t>
  </si>
  <si>
    <t>Account</t>
  </si>
  <si>
    <t>Description</t>
  </si>
  <si>
    <t>Amount</t>
  </si>
  <si>
    <t>0751401</t>
  </si>
  <si>
    <t>Telephone</t>
  </si>
  <si>
    <t>Total</t>
  </si>
  <si>
    <t>BUSINESS PURPOSE</t>
  </si>
  <si>
    <t>TOTAL MOBILE TEL CLAIMS</t>
  </si>
  <si>
    <t>TOTAL OTHERS TEL CLAIMS</t>
  </si>
  <si>
    <t>TOTAL AMOUNT TO APPEAR IN T&amp;E FORM</t>
  </si>
  <si>
    <t>MOBILE TEL CLAIMS</t>
  </si>
  <si>
    <t>TOTAL CHG TO CO</t>
  </si>
  <si>
    <t>0752421</t>
  </si>
  <si>
    <t>0752425</t>
  </si>
  <si>
    <t>0752430</t>
  </si>
  <si>
    <t>0752440</t>
  </si>
  <si>
    <t>0752445</t>
  </si>
  <si>
    <t>BUSINESS RELATED RESIDENTIAL TEL LINE -IDD</t>
  </si>
  <si>
    <t>Telephone Expense Claims Form</t>
  </si>
  <si>
    <t>AIRPLANE</t>
  </si>
  <si>
    <t>ICC &amp; OTHER BUSINESS RELATED TEL EXPENSE</t>
  </si>
  <si>
    <t>ICC (INTERNATIONAL CALLING CARD)</t>
  </si>
  <si>
    <t>REFER TO INSTRUCTIONS IN TRAVEL AND BUSINESS EXPENSE POLICY</t>
  </si>
  <si>
    <t>1)</t>
  </si>
  <si>
    <t xml:space="preserve">Click 'TOOLS' on the menu bar </t>
  </si>
  <si>
    <t>a.</t>
  </si>
  <si>
    <t>b.</t>
  </si>
  <si>
    <t>Select 'ADD INS'</t>
  </si>
  <si>
    <t>c.</t>
  </si>
  <si>
    <t>2)</t>
  </si>
  <si>
    <t>3)</t>
  </si>
  <si>
    <t>First time users must perform this step before starting in order for the spreadsheet to function properly.</t>
  </si>
  <si>
    <t>Open the T&amp;E report spreadsheet</t>
  </si>
  <si>
    <t>4)</t>
  </si>
  <si>
    <t>On the menu bar select --&gt;Window-&gt; New Window</t>
  </si>
  <si>
    <t>Keying on either window will be updated as one.</t>
  </si>
  <si>
    <r>
      <t>MEAL-</t>
    </r>
    <r>
      <rPr>
        <sz val="9"/>
        <color indexed="10"/>
        <rFont val="N Helvetica Narrow"/>
        <family val="2"/>
      </rPr>
      <t>SUBTOTAL</t>
    </r>
  </si>
  <si>
    <r>
      <t xml:space="preserve">*BUSINESS MEETING </t>
    </r>
    <r>
      <rPr>
        <sz val="9"/>
        <color indexed="14"/>
        <rFont val="N Helvetica Narrow"/>
        <family val="2"/>
      </rPr>
      <t xml:space="preserve"> </t>
    </r>
    <r>
      <rPr>
        <b/>
        <sz val="9"/>
        <color indexed="14"/>
        <rFont val="N Helvetica Narrow"/>
        <family val="2"/>
      </rPr>
      <t>[A]</t>
    </r>
  </si>
  <si>
    <r>
      <t xml:space="preserve">TRAVEL OTHER - </t>
    </r>
    <r>
      <rPr>
        <sz val="9"/>
        <color indexed="10"/>
        <rFont val="N Helvetica Narrow"/>
        <family val="2"/>
      </rPr>
      <t>SUBTOTAL</t>
    </r>
  </si>
  <si>
    <t>(km)</t>
  </si>
  <si>
    <t>5)</t>
  </si>
  <si>
    <t>6)</t>
  </si>
  <si>
    <t>You can now switch window by --&gt; Selecting {T&amp;E.xls:1 or T&amp;E.xls:2}</t>
  </si>
  <si>
    <t>Click on 'ANALYSIS TOOLPAK' to select.</t>
  </si>
  <si>
    <t>NO. OF PAX</t>
  </si>
  <si>
    <t>a</t>
  </si>
  <si>
    <t>b</t>
  </si>
  <si>
    <t>c</t>
  </si>
  <si>
    <t>d</t>
  </si>
  <si>
    <t>e</t>
  </si>
  <si>
    <t>(c Exceeds f)</t>
  </si>
  <si>
    <t>0752441</t>
  </si>
  <si>
    <t>0752423</t>
  </si>
  <si>
    <t xml:space="preserve"> g  (f Exceeds c)</t>
  </si>
  <si>
    <t xml:space="preserve"> f (e Plus d)</t>
  </si>
  <si>
    <r>
      <t>*TAXI (INCLUDE HOME-AIRPORT-HOME)</t>
    </r>
    <r>
      <rPr>
        <sz val="8"/>
        <color indexed="14"/>
        <rFont val="N Helvetica Narrow"/>
        <family val="2"/>
      </rPr>
      <t xml:space="preserve"> </t>
    </r>
    <r>
      <rPr>
        <b/>
        <sz val="8"/>
        <color indexed="14"/>
        <rFont val="N Helvetica Narrow"/>
        <family val="2"/>
      </rPr>
      <t>[B]</t>
    </r>
  </si>
  <si>
    <t>i)</t>
  </si>
  <si>
    <t>ii)</t>
  </si>
  <si>
    <t>iii)</t>
  </si>
  <si>
    <r>
      <t xml:space="preserve">*LOCAL TAXI &amp; BUS </t>
    </r>
    <r>
      <rPr>
        <b/>
        <sz val="9"/>
        <color indexed="14"/>
        <rFont val="N Helvetica Narrow"/>
        <family val="2"/>
      </rPr>
      <t>[E]</t>
    </r>
  </si>
  <si>
    <r>
      <t>[E]</t>
    </r>
    <r>
      <rPr>
        <b/>
        <sz val="11"/>
        <rFont val="Helv"/>
        <family val="2"/>
      </rPr>
      <t xml:space="preserve"> LOCAL TAXI &amp; BUS DETAILS</t>
    </r>
  </si>
  <si>
    <t>You are required to enter informations into the 'YELLOW' cells only. The rest are 'Locked' to prevent changes to the format/formulae of this form.</t>
  </si>
  <si>
    <t>All dates must be entered correctly to ensure that the automated information is accurately captured.</t>
  </si>
  <si>
    <t>To scroll up and down the worksheet to input data, you may choose to open another window so that you can work on page 1 &amp; page 2 (details) by switching windows, as per below instructions :</t>
  </si>
  <si>
    <r>
      <t xml:space="preserve">*BUSINESS MEETING </t>
    </r>
    <r>
      <rPr>
        <b/>
        <sz val="8"/>
        <color indexed="56"/>
        <rFont val="N Helvetica Narrow"/>
        <family val="2"/>
      </rPr>
      <t xml:space="preserve"> </t>
    </r>
    <r>
      <rPr>
        <b/>
        <sz val="8"/>
        <color indexed="14"/>
        <rFont val="N Helvetica Narrow"/>
        <family val="2"/>
      </rPr>
      <t>[F]</t>
    </r>
  </si>
  <si>
    <t>TELEPHONE &amp; FAX - LOCAL</t>
  </si>
  <si>
    <r>
      <t>*</t>
    </r>
    <r>
      <rPr>
        <sz val="10"/>
        <color indexed="12"/>
        <rFont val="N Helvetica Narrow"/>
        <family val="2"/>
      </rPr>
      <t>OTHERS</t>
    </r>
    <r>
      <rPr>
        <sz val="10"/>
        <rFont val="N Helvetica Narrow"/>
        <family val="2"/>
      </rPr>
      <t xml:space="preserve"> </t>
    </r>
    <r>
      <rPr>
        <b/>
        <sz val="10"/>
        <color indexed="14"/>
        <rFont val="N Helvetica Narrow"/>
        <family val="2"/>
      </rPr>
      <t>[G]</t>
    </r>
  </si>
  <si>
    <r>
      <t>[G]</t>
    </r>
    <r>
      <rPr>
        <b/>
        <sz val="11"/>
        <rFont val="Helv"/>
        <family val="2"/>
      </rPr>
      <t xml:space="preserve"> OTHERS - LOCAL</t>
    </r>
  </si>
  <si>
    <r>
      <t>[F]</t>
    </r>
    <r>
      <rPr>
        <b/>
        <sz val="11"/>
        <rFont val="Helv"/>
        <family val="2"/>
      </rPr>
      <t xml:space="preserve"> LOCAL BUSINESS MEETINGS </t>
    </r>
    <r>
      <rPr>
        <b/>
        <sz val="11"/>
        <rFont val="Baskerville Old Face"/>
        <family val="1"/>
      </rPr>
      <t/>
    </r>
  </si>
  <si>
    <t>RMB</t>
  </si>
  <si>
    <t>NOTE: Every item of local expenses must be supported by invoices. All invoices must be originals, duplicates are not acceptable.</t>
  </si>
  <si>
    <t>BIZ MEETING</t>
  </si>
  <si>
    <t xml:space="preserve">FOR WEEK ENDING  (SUNDAY)          </t>
  </si>
  <si>
    <t>TRAVEL  EXPENSE  ONLY</t>
  </si>
  <si>
    <t>GASOLINE</t>
  </si>
  <si>
    <t>PLANE OR TRAIN PAID BY YOU</t>
  </si>
  <si>
    <r>
      <t>PLANE OR TRAIN -</t>
    </r>
    <r>
      <rPr>
        <sz val="9"/>
        <color indexed="10"/>
        <rFont val="N Helvetica Narrow"/>
        <family val="2"/>
      </rPr>
      <t xml:space="preserve">SUBTOTAL </t>
    </r>
  </si>
  <si>
    <t>TELEPHONE &amp; FAX - TRAVEL</t>
  </si>
  <si>
    <r>
      <t>*MISC - TRAVEL</t>
    </r>
    <r>
      <rPr>
        <b/>
        <sz val="9"/>
        <color indexed="56"/>
        <rFont val="N Helvetica Narrow"/>
        <family val="2"/>
      </rPr>
      <t xml:space="preserve"> </t>
    </r>
    <r>
      <rPr>
        <b/>
        <sz val="9"/>
        <color indexed="14"/>
        <rFont val="N Helvetica Narrow"/>
        <family val="2"/>
      </rPr>
      <t>[C]</t>
    </r>
  </si>
  <si>
    <r>
      <t>[B]</t>
    </r>
    <r>
      <rPr>
        <b/>
        <sz val="11"/>
        <rFont val="Helv"/>
        <family val="2"/>
      </rPr>
      <t xml:space="preserve"> TRAVEL TAXI &amp; BUS DETAILS</t>
    </r>
  </si>
  <si>
    <r>
      <t>[C]</t>
    </r>
    <r>
      <rPr>
        <b/>
        <sz val="11"/>
        <rFont val="Helv"/>
        <family val="2"/>
      </rPr>
      <t xml:space="preserve"> MISC TRAVEL</t>
    </r>
  </si>
  <si>
    <r>
      <t>[D]</t>
    </r>
    <r>
      <rPr>
        <b/>
        <sz val="11"/>
        <rFont val="Helv"/>
        <family val="2"/>
      </rPr>
      <t xml:space="preserve"> LOCAL GASOLINE  DETAILS </t>
    </r>
  </si>
  <si>
    <r>
      <t>[A]</t>
    </r>
    <r>
      <rPr>
        <b/>
        <sz val="11"/>
        <rFont val="Helv"/>
        <family val="2"/>
      </rPr>
      <t xml:space="preserve"> TRAVEL BUSINESS MEETINGS</t>
    </r>
  </si>
  <si>
    <t>EMPLOYEE SIGNATURE</t>
    <phoneticPr fontId="9" type="noConversion"/>
  </si>
  <si>
    <t>APPROVER SIGNATURE</t>
    <phoneticPr fontId="9" type="noConversion"/>
  </si>
  <si>
    <t>PRINT NAME</t>
    <phoneticPr fontId="9" type="noConversion"/>
  </si>
  <si>
    <t>Business related package (Blackberry etc)</t>
  </si>
  <si>
    <t>0787799</t>
  </si>
  <si>
    <t>PARKING /TOLLS - PTE CAR</t>
  </si>
  <si>
    <r>
      <t>*GASOLINE</t>
    </r>
    <r>
      <rPr>
        <sz val="9"/>
        <color indexed="14"/>
        <rFont val="N Helvetica Narrow"/>
        <family val="2"/>
      </rPr>
      <t xml:space="preserve"> </t>
    </r>
    <r>
      <rPr>
        <b/>
        <sz val="9"/>
        <color indexed="14"/>
        <rFont val="N Helvetica Narrow"/>
        <family val="2"/>
      </rPr>
      <t>[D]</t>
    </r>
  </si>
  <si>
    <r>
      <t xml:space="preserve">PTE CAR - </t>
    </r>
    <r>
      <rPr>
        <sz val="8"/>
        <color indexed="10"/>
        <rFont val="N Helvetica Narrow"/>
        <family val="2"/>
      </rPr>
      <t>SUBTOTAL</t>
    </r>
  </si>
  <si>
    <r>
      <t>TERADYNE</t>
    </r>
    <r>
      <rPr>
        <b/>
        <sz val="26"/>
        <color indexed="56"/>
        <rFont val="Terlogo"/>
        <family val="2"/>
      </rPr>
      <t xml:space="preserve"> </t>
    </r>
    <r>
      <rPr>
        <b/>
        <sz val="24"/>
        <color indexed="56"/>
        <rFont val="Arial"/>
        <family val="2"/>
      </rPr>
      <t>TRAVEL EXPENSE REPORT</t>
    </r>
  </si>
  <si>
    <t>0751402</t>
  </si>
  <si>
    <t>HOTEL</t>
  </si>
  <si>
    <t>Account Code</t>
  </si>
  <si>
    <t>0751445</t>
  </si>
  <si>
    <t>AMOUT</t>
  </si>
  <si>
    <r>
      <rPr>
        <b/>
        <sz val="10"/>
        <rFont val="Helv"/>
      </rPr>
      <t>RMB</t>
    </r>
    <r>
      <rPr>
        <sz val="10"/>
        <rFont val="Helv"/>
        <family val="2"/>
      </rPr>
      <t xml:space="preserve"> AMOUNT</t>
    </r>
  </si>
  <si>
    <t>PURPOSE OF TRIP</t>
  </si>
  <si>
    <t>Instructions:</t>
  </si>
  <si>
    <t>For remote approval, it is compulsory that you state on the email for approval, the week number and the total $ amount.</t>
    <phoneticPr fontId="72" type="noConversion"/>
  </si>
  <si>
    <r>
      <t xml:space="preserve">Reminder - Kindly attach your Boarding Pass and air-ticket invoice from the Travel Agent.  Air-ticket expenses </t>
    </r>
    <r>
      <rPr>
        <u/>
        <sz val="12"/>
        <rFont val="Times New Roman"/>
        <family val="1"/>
      </rPr>
      <t>must</t>
    </r>
    <r>
      <rPr>
        <sz val="12"/>
        <rFont val="Times New Roman"/>
        <family val="1"/>
      </rPr>
      <t xml:space="preserve"> be reflected on the report even if it's paid by company.</t>
    </r>
  </si>
  <si>
    <t>PRINT NAME</t>
  </si>
  <si>
    <t>Month:</t>
  </si>
  <si>
    <t>\\jade\BulletinBoard\Finance\Policy\Asia T&amp;E Policy_1 Jan 2017.docx</t>
  </si>
  <si>
    <t>refer to email</t>
  </si>
  <si>
    <t>Zhu, Bin Bill</t>
  </si>
  <si>
    <t/>
  </si>
  <si>
    <t>Yang, Hansen David</t>
  </si>
  <si>
    <t>744649</t>
  </si>
  <si>
    <t>Tengfei,Shanghai,China</t>
  </si>
  <si>
    <t>052861</t>
  </si>
  <si>
    <t>David Yang</t>
  </si>
  <si>
    <t>work overtime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</si>
</sst>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7" formatCode="&quot;$&quot;#,##0.00_);\(&quot;$&quot;#,##0.00\)"/>
    <numFmt numFmtId="8" formatCode="&quot;$&quot;#,##0.00_);[Red]\(&quot;$&quot;#,##0.00\)"/>
    <numFmt numFmtId="164" formatCode="d\ mmm"/>
    <numFmt numFmtId="165" formatCode="0.00_);[Red]\(0.00\)"/>
    <numFmt numFmtId="166" formatCode="#,##0.00;[Red]#,##0.00"/>
    <numFmt numFmtId="167" formatCode="&quot;RMB &quot;#,##0.00"/>
  </numFmts>
  <fonts count="79">
    <font>
      <sz val="9"/>
      <name val="Helv"/>
      <family val="2"/>
    </font>
    <font>
      <b/>
      <sz val="10"/>
      <name val="Helv"/>
      <family val="2"/>
    </font>
    <font>
      <b/>
      <i/>
      <sz val="10"/>
      <name val="Helv"/>
      <family val="2"/>
    </font>
    <font>
      <sz val="10"/>
      <name val="Geneva"/>
      <family val="2"/>
    </font>
    <font>
      <sz val="12"/>
      <name val="Helv"/>
      <family val="2"/>
    </font>
    <font>
      <b/>
      <sz val="15"/>
      <name val="Helv"/>
      <family val="2"/>
    </font>
    <font>
      <sz val="8"/>
      <name val="N Helvetica Narrow"/>
      <family val="2"/>
    </font>
    <font>
      <sz val="10"/>
      <name val="N Helvetica Narrow"/>
      <family val="2"/>
    </font>
    <font>
      <b/>
      <sz val="9"/>
      <name val="Helv"/>
      <family val="2"/>
    </font>
    <font>
      <sz val="8"/>
      <name val="Helv"/>
      <family val="2"/>
    </font>
    <font>
      <sz val="9"/>
      <name val="Helv"/>
      <family val="2"/>
    </font>
    <font>
      <sz val="12"/>
      <name val="N Helvetica Narrow"/>
      <family val="2"/>
    </font>
    <font>
      <sz val="10"/>
      <name val="Helv"/>
      <family val="2"/>
    </font>
    <font>
      <sz val="11"/>
      <name val="Helv"/>
      <family val="2"/>
    </font>
    <font>
      <sz val="9"/>
      <name val="Terlogo"/>
      <family val="2"/>
    </font>
    <font>
      <b/>
      <shadow/>
      <sz val="14"/>
      <color indexed="21"/>
      <name val="Helv"/>
      <family val="2"/>
    </font>
    <font>
      <b/>
      <sz val="26"/>
      <color indexed="56"/>
      <name val="Terlogo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2"/>
      <color indexed="81"/>
      <name val="Times New Roman"/>
      <family val="1"/>
    </font>
    <font>
      <b/>
      <sz val="10"/>
      <color indexed="81"/>
      <name val="Tahoma"/>
      <family val="2"/>
    </font>
    <font>
      <b/>
      <sz val="10"/>
      <color indexed="81"/>
      <name val="Times New Roman"/>
      <family val="1"/>
    </font>
    <font>
      <b/>
      <sz val="14"/>
      <name val="Times New Roman"/>
      <family val="1"/>
    </font>
    <font>
      <b/>
      <sz val="8"/>
      <color indexed="81"/>
      <name val="Times New Roman"/>
      <family val="1"/>
    </font>
    <font>
      <sz val="8"/>
      <color indexed="56"/>
      <name val="N Helvetica Narrow"/>
      <family val="2"/>
    </font>
    <font>
      <b/>
      <sz val="8"/>
      <color indexed="56"/>
      <name val="N Helvetica Narrow"/>
      <family val="2"/>
    </font>
    <font>
      <b/>
      <sz val="11"/>
      <name val="Helv"/>
      <family val="2"/>
    </font>
    <font>
      <b/>
      <sz val="10"/>
      <name val="Times New Roman"/>
      <family val="1"/>
    </font>
    <font>
      <sz val="9"/>
      <name val="Times New Roman"/>
      <family val="1"/>
    </font>
    <font>
      <b/>
      <i/>
      <sz val="8"/>
      <color indexed="81"/>
      <name val="Tahoma"/>
      <family val="2"/>
    </font>
    <font>
      <b/>
      <sz val="11"/>
      <color indexed="81"/>
      <name val="Times New Roman"/>
      <family val="1"/>
    </font>
    <font>
      <b/>
      <u/>
      <sz val="9"/>
      <name val="Times New Roman"/>
      <family val="1"/>
    </font>
    <font>
      <b/>
      <sz val="24"/>
      <color indexed="56"/>
      <name val="Arial"/>
      <family val="2"/>
    </font>
    <font>
      <b/>
      <sz val="11"/>
      <name val="Baskerville Old Face"/>
      <family val="1"/>
    </font>
    <font>
      <b/>
      <u val="doubleAccounting"/>
      <sz val="10"/>
      <color indexed="10"/>
      <name val="Times New Roman"/>
      <family val="1"/>
    </font>
    <font>
      <b/>
      <sz val="10"/>
      <color indexed="10"/>
      <name val="Times New Roman"/>
      <family val="1"/>
    </font>
    <font>
      <sz val="9"/>
      <color indexed="10"/>
      <name val="Times New Roman"/>
      <family val="1"/>
    </font>
    <font>
      <b/>
      <sz val="9"/>
      <name val="Times New Roman"/>
      <family val="1"/>
    </font>
    <font>
      <b/>
      <sz val="9"/>
      <color indexed="81"/>
      <name val="Tahoma"/>
      <family val="2"/>
    </font>
    <font>
      <b/>
      <u/>
      <sz val="9"/>
      <color indexed="10"/>
      <name val="Times New Roman"/>
      <family val="1"/>
    </font>
    <font>
      <sz val="8"/>
      <color indexed="10"/>
      <name val="N Helvetica Narrow"/>
      <family val="2"/>
    </font>
    <font>
      <u/>
      <sz val="6.75"/>
      <color indexed="12"/>
      <name val="Helv"/>
      <family val="2"/>
    </font>
    <font>
      <b/>
      <sz val="8"/>
      <color indexed="14"/>
      <name val="N Helvetica Narrow"/>
      <family val="2"/>
    </font>
    <font>
      <b/>
      <sz val="11"/>
      <color indexed="14"/>
      <name val="Helv"/>
      <family val="2"/>
    </font>
    <font>
      <b/>
      <sz val="10"/>
      <name val="N Helvetica Narrow"/>
      <family val="2"/>
    </font>
    <font>
      <b/>
      <sz val="10"/>
      <name val="Arial Rounded MT Bold"/>
      <family val="2"/>
    </font>
    <font>
      <sz val="10"/>
      <name val="Arial Black"/>
      <family val="2"/>
    </font>
    <font>
      <sz val="10"/>
      <color indexed="42"/>
      <name val="Helv"/>
      <family val="2"/>
    </font>
    <font>
      <b/>
      <sz val="10"/>
      <color indexed="14"/>
      <name val="N Helvetica Narrow"/>
      <family val="2"/>
    </font>
    <font>
      <sz val="10"/>
      <color indexed="12"/>
      <name val="N Helvetica Narrow"/>
      <family val="2"/>
    </font>
    <font>
      <b/>
      <i/>
      <sz val="10"/>
      <color indexed="56"/>
      <name val="Helv"/>
      <family val="2"/>
    </font>
    <font>
      <u/>
      <sz val="10"/>
      <name val="Helv"/>
      <family val="2"/>
    </font>
    <font>
      <sz val="9"/>
      <name val="N Helvetica Narrow"/>
      <family val="2"/>
    </font>
    <font>
      <sz val="9"/>
      <color indexed="10"/>
      <name val="N Helvetica Narrow"/>
      <family val="2"/>
    </font>
    <font>
      <sz val="9"/>
      <name val="Helv"/>
      <family val="2"/>
    </font>
    <font>
      <sz val="9"/>
      <name val="Helv"/>
      <family val="2"/>
    </font>
    <font>
      <sz val="9"/>
      <color indexed="56"/>
      <name val="N Helvetica Narrow"/>
      <family val="2"/>
    </font>
    <font>
      <sz val="9"/>
      <color indexed="14"/>
      <name val="N Helvetica Narrow"/>
      <family val="2"/>
    </font>
    <font>
      <b/>
      <sz val="9"/>
      <color indexed="14"/>
      <name val="N Helvetica Narrow"/>
      <family val="2"/>
    </font>
    <font>
      <b/>
      <sz val="9"/>
      <color indexed="56"/>
      <name val="N Helvetica Narrow"/>
      <family val="2"/>
    </font>
    <font>
      <sz val="9"/>
      <name val="Helv"/>
      <family val="2"/>
    </font>
    <font>
      <b/>
      <sz val="24"/>
      <color indexed="62"/>
      <name val="Terlogo"/>
      <family val="2"/>
    </font>
    <font>
      <b/>
      <sz val="26"/>
      <color indexed="62"/>
      <name val="Terlogo"/>
      <family val="2"/>
    </font>
    <font>
      <sz val="12"/>
      <color indexed="10"/>
      <name val="Helv"/>
      <family val="2"/>
    </font>
    <font>
      <sz val="8"/>
      <color indexed="14"/>
      <name val="N Helvetica Narrow"/>
      <family val="2"/>
    </font>
    <font>
      <b/>
      <u/>
      <sz val="12"/>
      <name val="Times New Roman"/>
      <family val="1"/>
    </font>
    <font>
      <sz val="12"/>
      <name val="Times New Roman"/>
      <family val="1"/>
    </font>
    <font>
      <u/>
      <sz val="12"/>
      <name val="Times New Roman"/>
      <family val="1"/>
    </font>
    <font>
      <b/>
      <sz val="12"/>
      <name val="Helv"/>
      <family val="2"/>
    </font>
    <font>
      <b/>
      <u/>
      <sz val="18"/>
      <name val="Helv"/>
      <family val="2"/>
    </font>
    <font>
      <b/>
      <sz val="11"/>
      <color indexed="81"/>
      <name val="Tahoma"/>
      <family val="2"/>
    </font>
    <font>
      <sz val="14"/>
      <name val="Helv"/>
      <family val="2"/>
    </font>
    <font>
      <sz val="9"/>
      <name val="宋体"/>
      <charset val="134"/>
    </font>
    <font>
      <b/>
      <sz val="14"/>
      <name val="Helv"/>
    </font>
    <font>
      <b/>
      <sz val="12"/>
      <color theme="0"/>
      <name val="Helv"/>
      <family val="2"/>
    </font>
    <font>
      <b/>
      <sz val="10"/>
      <name val="Helv"/>
    </font>
    <font>
      <sz val="10"/>
      <name val="Helv"/>
    </font>
    <font>
      <b/>
      <u/>
      <sz val="12"/>
      <color indexed="12"/>
      <name val="Helv"/>
    </font>
    <font>
      <name val="Calibri"/>
      <sz val="16.0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9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22"/>
      </patternFill>
    </fill>
    <fill>
      <patternFill patternType="solid">
        <fgColor theme="3" tint="0.79998168889431442"/>
        <bgColor indexed="64"/>
      </patternFill>
    </fill>
  </fills>
  <borders count="132">
    <border>
      <left/>
      <right/>
      <top/>
      <bottom/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" fontId="3" fillId="0" borderId="0" applyFont="0" applyFill="0" applyBorder="0" applyAlignment="0" applyProtection="0"/>
    <xf numFmtId="8" fontId="3" fillId="0" borderId="0" applyFont="0" applyFill="0" applyBorder="0" applyAlignment="0" applyProtection="0"/>
    <xf numFmtId="0" fontId="41" fillId="0" borderId="0" applyNumberFormat="0" applyFill="0" applyBorder="0" applyAlignment="0" applyProtection="0">
      <alignment vertical="top"/>
      <protection locked="0"/>
    </xf>
  </cellStyleXfs>
  <cellXfs count="526">
    <xf numFmtId="0" fontId="0" fillId="0" borderId="0" xfId="0"/>
    <xf numFmtId="164" fontId="13" fillId="2" borderId="1" xfId="0" applyNumberFormat="1" applyFont="1" applyFill="1" applyBorder="1" applyAlignment="1" applyProtection="1">
      <alignment horizontal="right"/>
      <protection locked="0"/>
    </xf>
    <xf numFmtId="0" fontId="14" fillId="0" borderId="0" xfId="0" applyFont="1" applyBorder="1" applyProtection="1">
      <protection hidden="1"/>
    </xf>
    <xf numFmtId="0" fontId="0" fillId="0" borderId="0" xfId="0" applyBorder="1" applyProtection="1">
      <protection hidden="1"/>
    </xf>
    <xf numFmtId="1" fontId="0" fillId="0" borderId="0" xfId="0" applyNumberFormat="1" applyBorder="1" applyProtection="1">
      <protection hidden="1"/>
    </xf>
    <xf numFmtId="0" fontId="0" fillId="0" borderId="0" xfId="0" applyProtection="1">
      <protection hidden="1"/>
    </xf>
    <xf numFmtId="2" fontId="0" fillId="0" borderId="0" xfId="0" applyNumberFormat="1" applyBorder="1" applyProtection="1">
      <protection hidden="1"/>
    </xf>
    <xf numFmtId="0" fontId="15" fillId="0" borderId="0" xfId="0" applyFont="1" applyBorder="1" applyProtection="1">
      <protection hidden="1"/>
    </xf>
    <xf numFmtId="0" fontId="5" fillId="0" borderId="0" xfId="0" applyFont="1" applyBorder="1" applyProtection="1">
      <protection hidden="1"/>
    </xf>
    <xf numFmtId="0" fontId="1" fillId="0" borderId="0" xfId="0" applyFont="1" applyBorder="1" applyProtection="1">
      <protection hidden="1"/>
    </xf>
    <xf numFmtId="0" fontId="4" fillId="0" borderId="0" xfId="0" applyFont="1" applyBorder="1" applyProtection="1">
      <protection hidden="1"/>
    </xf>
    <xf numFmtId="0" fontId="7" fillId="0" borderId="0" xfId="0" applyFont="1" applyBorder="1" applyAlignment="1" applyProtection="1">
      <alignment horizontal="left"/>
      <protection hidden="1"/>
    </xf>
    <xf numFmtId="0" fontId="7" fillId="0" borderId="0" xfId="0" applyFont="1" applyBorder="1" applyAlignment="1" applyProtection="1">
      <alignment horizontal="right"/>
      <protection hidden="1"/>
    </xf>
    <xf numFmtId="0" fontId="7" fillId="0" borderId="0" xfId="0" applyFont="1" applyProtection="1">
      <protection hidden="1"/>
    </xf>
    <xf numFmtId="0" fontId="7" fillId="0" borderId="0" xfId="0" applyFont="1" applyBorder="1" applyProtection="1">
      <protection hidden="1"/>
    </xf>
    <xf numFmtId="0" fontId="6" fillId="0" borderId="2" xfId="0" applyFont="1" applyBorder="1" applyProtection="1">
      <protection hidden="1"/>
    </xf>
    <xf numFmtId="0" fontId="6" fillId="0" borderId="3" xfId="0" applyFont="1" applyBorder="1" applyProtection="1">
      <protection hidden="1"/>
    </xf>
    <xf numFmtId="0" fontId="24" fillId="3" borderId="2" xfId="0" applyFont="1" applyFill="1" applyBorder="1" applyProtection="1">
      <protection hidden="1"/>
    </xf>
    <xf numFmtId="0" fontId="6" fillId="3" borderId="2" xfId="0" applyFont="1" applyFill="1" applyBorder="1" applyProtection="1">
      <protection hidden="1"/>
    </xf>
    <xf numFmtId="4" fontId="13" fillId="0" borderId="0" xfId="1" applyFont="1" applyFill="1" applyBorder="1" applyAlignment="1" applyProtection="1">
      <protection hidden="1"/>
    </xf>
    <xf numFmtId="4" fontId="13" fillId="0" borderId="0" xfId="1" applyFont="1" applyFill="1" applyBorder="1" applyProtection="1">
      <protection hidden="1"/>
    </xf>
    <xf numFmtId="4" fontId="13" fillId="0" borderId="6" xfId="1" applyFont="1" applyFill="1" applyBorder="1" applyAlignment="1" applyProtection="1">
      <protection hidden="1"/>
    </xf>
    <xf numFmtId="0" fontId="27" fillId="0" borderId="0" xfId="0" applyFont="1" applyProtection="1">
      <protection hidden="1"/>
    </xf>
    <xf numFmtId="0" fontId="28" fillId="0" borderId="0" xfId="0" applyFont="1" applyProtection="1">
      <protection hidden="1"/>
    </xf>
    <xf numFmtId="0" fontId="22" fillId="0" borderId="0" xfId="0" applyFont="1" applyProtection="1">
      <protection hidden="1"/>
    </xf>
    <xf numFmtId="0" fontId="27" fillId="0" borderId="7" xfId="0" applyFont="1" applyBorder="1" applyProtection="1">
      <protection hidden="1"/>
    </xf>
    <xf numFmtId="0" fontId="27" fillId="0" borderId="8" xfId="0" applyFont="1" applyBorder="1" applyProtection="1">
      <protection hidden="1"/>
    </xf>
    <xf numFmtId="0" fontId="28" fillId="0" borderId="9" xfId="0" applyFont="1" applyBorder="1" applyProtection="1">
      <protection hidden="1"/>
    </xf>
    <xf numFmtId="0" fontId="28" fillId="0" borderId="10" xfId="0" quotePrefix="1" applyFont="1" applyBorder="1" applyProtection="1">
      <protection hidden="1"/>
    </xf>
    <xf numFmtId="0" fontId="28" fillId="0" borderId="11" xfId="0" applyFont="1" applyBorder="1" applyProtection="1">
      <protection hidden="1"/>
    </xf>
    <xf numFmtId="4" fontId="28" fillId="0" borderId="11" xfId="0" applyNumberFormat="1" applyFont="1" applyBorder="1" applyProtection="1">
      <protection hidden="1"/>
    </xf>
    <xf numFmtId="0" fontId="28" fillId="0" borderId="12" xfId="0" applyFont="1" applyBorder="1" applyProtection="1">
      <protection hidden="1"/>
    </xf>
    <xf numFmtId="0" fontId="28" fillId="0" borderId="13" xfId="0" applyFont="1" applyBorder="1" applyProtection="1">
      <protection hidden="1"/>
    </xf>
    <xf numFmtId="0" fontId="28" fillId="0" borderId="14" xfId="0" applyFont="1" applyBorder="1" applyProtection="1">
      <protection hidden="1"/>
    </xf>
    <xf numFmtId="4" fontId="28" fillId="0" borderId="14" xfId="0" applyNumberFormat="1" applyFont="1" applyBorder="1" applyProtection="1">
      <protection hidden="1"/>
    </xf>
    <xf numFmtId="0" fontId="28" fillId="0" borderId="6" xfId="0" applyFont="1" applyBorder="1" applyProtection="1">
      <protection hidden="1"/>
    </xf>
    <xf numFmtId="0" fontId="8" fillId="0" borderId="0" xfId="0" applyFont="1" applyBorder="1" applyProtection="1">
      <protection hidden="1"/>
    </xf>
    <xf numFmtId="0" fontId="9" fillId="0" borderId="0" xfId="0" applyFont="1" applyBorder="1" applyAlignment="1" applyProtection="1">
      <alignment vertical="center"/>
      <protection hidden="1"/>
    </xf>
    <xf numFmtId="0" fontId="27" fillId="0" borderId="8" xfId="0" applyFont="1" applyBorder="1" applyAlignment="1" applyProtection="1">
      <alignment horizontal="center"/>
      <protection hidden="1"/>
    </xf>
    <xf numFmtId="4" fontId="28" fillId="0" borderId="11" xfId="1" applyFont="1" applyBorder="1" applyProtection="1">
      <protection hidden="1"/>
    </xf>
    <xf numFmtId="4" fontId="28" fillId="0" borderId="14" xfId="1" applyFont="1" applyBorder="1" applyProtection="1">
      <protection hidden="1"/>
    </xf>
    <xf numFmtId="0" fontId="12" fillId="0" borderId="0" xfId="0" applyFont="1" applyBorder="1" applyAlignment="1" applyProtection="1">
      <alignment horizontal="left"/>
      <protection hidden="1"/>
    </xf>
    <xf numFmtId="0" fontId="0" fillId="0" borderId="0" xfId="0" applyBorder="1" applyAlignment="1" applyProtection="1">
      <protection hidden="1"/>
    </xf>
    <xf numFmtId="0" fontId="8" fillId="0" borderId="0" xfId="0" applyFont="1" applyBorder="1" applyAlignment="1" applyProtection="1">
      <protection hidden="1"/>
    </xf>
    <xf numFmtId="0" fontId="28" fillId="0" borderId="16" xfId="0" applyFont="1" applyBorder="1" applyProtection="1">
      <protection hidden="1"/>
    </xf>
    <xf numFmtId="0" fontId="28" fillId="0" borderId="0" xfId="0" applyFont="1" applyBorder="1" applyProtection="1">
      <protection hidden="1"/>
    </xf>
    <xf numFmtId="0" fontId="31" fillId="0" borderId="16" xfId="0" applyFont="1" applyBorder="1" applyProtection="1">
      <protection hidden="1"/>
    </xf>
    <xf numFmtId="0" fontId="27" fillId="0" borderId="16" xfId="0" applyFont="1" applyBorder="1" applyProtection="1">
      <protection hidden="1"/>
    </xf>
    <xf numFmtId="0" fontId="27" fillId="0" borderId="0" xfId="0" applyFont="1" applyBorder="1" applyProtection="1">
      <protection hidden="1"/>
    </xf>
    <xf numFmtId="0" fontId="28" fillId="0" borderId="4" xfId="0" applyFont="1" applyBorder="1" applyProtection="1">
      <protection hidden="1"/>
    </xf>
    <xf numFmtId="0" fontId="28" fillId="0" borderId="5" xfId="0" applyFont="1" applyBorder="1" applyProtection="1">
      <protection hidden="1"/>
    </xf>
    <xf numFmtId="0" fontId="28" fillId="0" borderId="17" xfId="0" applyFont="1" applyBorder="1" applyProtection="1">
      <protection hidden="1"/>
    </xf>
    <xf numFmtId="0" fontId="28" fillId="0" borderId="18" xfId="0" applyFont="1" applyBorder="1" applyProtection="1">
      <protection hidden="1"/>
    </xf>
    <xf numFmtId="0" fontId="28" fillId="0" borderId="19" xfId="0" applyFont="1" applyBorder="1" applyProtection="1">
      <protection hidden="1"/>
    </xf>
    <xf numFmtId="0" fontId="28" fillId="0" borderId="20" xfId="0" applyFont="1" applyBorder="1" applyProtection="1">
      <protection hidden="1"/>
    </xf>
    <xf numFmtId="0" fontId="28" fillId="0" borderId="20" xfId="0" applyFont="1" applyBorder="1" applyAlignment="1" applyProtection="1">
      <alignment horizontal="center"/>
      <protection hidden="1"/>
    </xf>
    <xf numFmtId="4" fontId="28" fillId="0" borderId="20" xfId="0" applyNumberFormat="1" applyFont="1" applyBorder="1" applyProtection="1">
      <protection hidden="1"/>
    </xf>
    <xf numFmtId="0" fontId="28" fillId="0" borderId="20" xfId="0" applyNumberFormat="1" applyFont="1" applyBorder="1" applyProtection="1">
      <protection hidden="1"/>
    </xf>
    <xf numFmtId="4" fontId="28" fillId="0" borderId="20" xfId="0" applyNumberFormat="1" applyFont="1" applyFill="1" applyBorder="1" applyProtection="1">
      <protection hidden="1"/>
    </xf>
    <xf numFmtId="4" fontId="27" fillId="0" borderId="14" xfId="0" applyNumberFormat="1" applyFont="1" applyBorder="1" applyProtection="1">
      <protection hidden="1"/>
    </xf>
    <xf numFmtId="4" fontId="27" fillId="0" borderId="20" xfId="0" applyNumberFormat="1" applyFont="1" applyBorder="1" applyProtection="1">
      <protection hidden="1"/>
    </xf>
    <xf numFmtId="0" fontId="28" fillId="0" borderId="21" xfId="0" applyFont="1" applyBorder="1" applyProtection="1">
      <protection hidden="1"/>
    </xf>
    <xf numFmtId="0" fontId="28" fillId="0" borderId="22" xfId="0" applyFont="1" applyBorder="1" applyProtection="1">
      <protection hidden="1"/>
    </xf>
    <xf numFmtId="0" fontId="28" fillId="0" borderId="23" xfId="0" applyFont="1" applyBorder="1" applyProtection="1">
      <protection hidden="1"/>
    </xf>
    <xf numFmtId="0" fontId="27" fillId="0" borderId="23" xfId="0" applyFont="1" applyBorder="1" applyProtection="1">
      <protection hidden="1"/>
    </xf>
    <xf numFmtId="0" fontId="28" fillId="0" borderId="24" xfId="0" applyFont="1" applyBorder="1" applyProtection="1">
      <protection hidden="1"/>
    </xf>
    <xf numFmtId="9" fontId="28" fillId="5" borderId="20" xfId="0" applyNumberFormat="1" applyFont="1" applyFill="1" applyBorder="1" applyProtection="1">
      <protection locked="0"/>
    </xf>
    <xf numFmtId="0" fontId="27" fillId="0" borderId="20" xfId="0" applyFont="1" applyBorder="1" applyProtection="1">
      <protection hidden="1"/>
    </xf>
    <xf numFmtId="4" fontId="28" fillId="5" borderId="20" xfId="0" applyNumberFormat="1" applyFont="1" applyFill="1" applyBorder="1" applyProtection="1">
      <protection locked="0"/>
    </xf>
    <xf numFmtId="4" fontId="28" fillId="5" borderId="20" xfId="1" applyFont="1" applyFill="1" applyBorder="1" applyProtection="1">
      <protection locked="0"/>
    </xf>
    <xf numFmtId="4" fontId="34" fillId="0" borderId="20" xfId="0" applyNumberFormat="1" applyFont="1" applyBorder="1" applyProtection="1">
      <protection hidden="1"/>
    </xf>
    <xf numFmtId="0" fontId="35" fillId="0" borderId="16" xfId="0" applyFont="1" applyBorder="1" applyProtection="1">
      <protection hidden="1"/>
    </xf>
    <xf numFmtId="0" fontId="36" fillId="0" borderId="0" xfId="0" applyFont="1" applyBorder="1" applyProtection="1">
      <protection hidden="1"/>
    </xf>
    <xf numFmtId="0" fontId="37" fillId="0" borderId="19" xfId="0" applyFont="1" applyBorder="1" applyAlignment="1" applyProtection="1">
      <alignment horizontal="center"/>
      <protection hidden="1"/>
    </xf>
    <xf numFmtId="0" fontId="9" fillId="0" borderId="25" xfId="0" applyFont="1" applyBorder="1" applyProtection="1">
      <protection hidden="1"/>
    </xf>
    <xf numFmtId="0" fontId="9" fillId="0" borderId="16" xfId="0" applyFont="1" applyBorder="1" applyProtection="1">
      <protection hidden="1"/>
    </xf>
    <xf numFmtId="0" fontId="39" fillId="0" borderId="16" xfId="0" applyFont="1" applyBorder="1" applyProtection="1">
      <protection hidden="1"/>
    </xf>
    <xf numFmtId="0" fontId="35" fillId="0" borderId="0" xfId="0" applyFont="1" applyBorder="1" applyProtection="1">
      <protection hidden="1"/>
    </xf>
    <xf numFmtId="0" fontId="35" fillId="0" borderId="23" xfId="0" applyFont="1" applyBorder="1" applyProtection="1">
      <protection hidden="1"/>
    </xf>
    <xf numFmtId="164" fontId="13" fillId="0" borderId="0" xfId="0" applyNumberFormat="1" applyFont="1" applyFill="1" applyBorder="1" applyAlignment="1" applyProtection="1">
      <alignment horizontal="center"/>
      <protection hidden="1"/>
    </xf>
    <xf numFmtId="164" fontId="13" fillId="0" borderId="0" xfId="0" applyNumberFormat="1" applyFont="1" applyFill="1" applyBorder="1" applyAlignment="1" applyProtection="1">
      <alignment horizontal="right"/>
      <protection hidden="1"/>
    </xf>
    <xf numFmtId="164" fontId="13" fillId="0" borderId="0" xfId="0" quotePrefix="1" applyNumberFormat="1" applyFont="1" applyFill="1" applyBorder="1" applyAlignment="1" applyProtection="1">
      <alignment horizontal="left"/>
      <protection hidden="1"/>
    </xf>
    <xf numFmtId="0" fontId="13" fillId="6" borderId="9" xfId="0" applyFont="1" applyFill="1" applyBorder="1" applyAlignment="1" applyProtection="1">
      <alignment horizontal="center"/>
      <protection hidden="1"/>
    </xf>
    <xf numFmtId="0" fontId="11" fillId="0" borderId="0" xfId="0" applyFont="1" applyFill="1" applyBorder="1" applyProtection="1">
      <protection hidden="1"/>
    </xf>
    <xf numFmtId="0" fontId="13" fillId="0" borderId="0" xfId="0" applyFont="1" applyProtection="1">
      <protection hidden="1"/>
    </xf>
    <xf numFmtId="4" fontId="13" fillId="0" borderId="6" xfId="1" applyFont="1" applyFill="1" applyBorder="1" applyProtection="1">
      <protection hidden="1"/>
    </xf>
    <xf numFmtId="164" fontId="13" fillId="0" borderId="28" xfId="0" applyNumberFormat="1" applyFont="1" applyFill="1" applyBorder="1" applyAlignment="1" applyProtection="1">
      <alignment horizontal="center"/>
      <protection hidden="1"/>
    </xf>
    <xf numFmtId="164" fontId="13" fillId="0" borderId="28" xfId="0" applyNumberFormat="1" applyFont="1" applyFill="1" applyBorder="1" applyAlignment="1" applyProtection="1">
      <alignment horizontal="right"/>
      <protection hidden="1"/>
    </xf>
    <xf numFmtId="16" fontId="0" fillId="0" borderId="0" xfId="0" applyNumberFormat="1" applyBorder="1" applyProtection="1">
      <protection hidden="1"/>
    </xf>
    <xf numFmtId="0" fontId="12" fillId="0" borderId="0" xfId="0" applyFont="1" applyProtection="1">
      <protection hidden="1"/>
    </xf>
    <xf numFmtId="0" fontId="12" fillId="0" borderId="0" xfId="0" applyFont="1" applyAlignment="1" applyProtection="1">
      <alignment horizontal="right"/>
      <protection hidden="1"/>
    </xf>
    <xf numFmtId="0" fontId="44" fillId="2" borderId="29" xfId="0" applyFont="1" applyFill="1" applyBorder="1" applyAlignment="1" applyProtection="1">
      <alignment horizontal="right"/>
      <protection locked="0"/>
    </xf>
    <xf numFmtId="0" fontId="12" fillId="0" borderId="0" xfId="0" applyFont="1" applyBorder="1" applyProtection="1">
      <protection hidden="1"/>
    </xf>
    <xf numFmtId="15" fontId="44" fillId="2" borderId="29" xfId="0" applyNumberFormat="1" applyFont="1" applyFill="1" applyBorder="1" applyAlignment="1" applyProtection="1">
      <alignment horizontal="right"/>
      <protection locked="0"/>
    </xf>
    <xf numFmtId="1" fontId="44" fillId="0" borderId="0" xfId="0" quotePrefix="1" applyNumberFormat="1" applyFont="1" applyBorder="1" applyAlignment="1" applyProtection="1">
      <alignment horizontal="left"/>
      <protection hidden="1"/>
    </xf>
    <xf numFmtId="0" fontId="12" fillId="0" borderId="0" xfId="0" quotePrefix="1" applyFont="1" applyAlignment="1" applyProtection="1">
      <alignment horizontal="left"/>
      <protection hidden="1"/>
    </xf>
    <xf numFmtId="1" fontId="45" fillId="0" borderId="29" xfId="0" applyNumberFormat="1" applyFont="1" applyFill="1" applyBorder="1" applyAlignment="1" applyProtection="1">
      <alignment horizontal="right"/>
      <protection hidden="1"/>
    </xf>
    <xf numFmtId="0" fontId="12" fillId="0" borderId="0" xfId="0" applyFont="1" applyBorder="1" applyAlignment="1" applyProtection="1">
      <alignment horizontal="center"/>
      <protection hidden="1"/>
    </xf>
    <xf numFmtId="15" fontId="12" fillId="0" borderId="0" xfId="0" applyNumberFormat="1" applyFont="1" applyBorder="1" applyAlignment="1" applyProtection="1">
      <alignment horizontal="center"/>
      <protection hidden="1"/>
    </xf>
    <xf numFmtId="0" fontId="12" fillId="0" borderId="22" xfId="0" applyFont="1" applyBorder="1" applyProtection="1">
      <protection hidden="1"/>
    </xf>
    <xf numFmtId="15" fontId="46" fillId="0" borderId="32" xfId="0" applyNumberFormat="1" applyFont="1" applyBorder="1" applyAlignment="1" applyProtection="1">
      <alignment horizontal="center"/>
      <protection hidden="1"/>
    </xf>
    <xf numFmtId="0" fontId="12" fillId="0" borderId="33" xfId="0" applyFont="1" applyBorder="1" applyProtection="1">
      <protection hidden="1"/>
    </xf>
    <xf numFmtId="0" fontId="12" fillId="0" borderId="34" xfId="0" applyFont="1" applyBorder="1" applyAlignment="1" applyProtection="1">
      <alignment horizontal="center"/>
      <protection hidden="1"/>
    </xf>
    <xf numFmtId="7" fontId="12" fillId="0" borderId="33" xfId="0" applyNumberFormat="1" applyFont="1" applyBorder="1" applyAlignment="1" applyProtection="1">
      <alignment horizontal="right"/>
      <protection hidden="1"/>
    </xf>
    <xf numFmtId="0" fontId="12" fillId="0" borderId="36" xfId="0" applyFont="1" applyBorder="1" applyAlignment="1" applyProtection="1">
      <alignment horizontal="center"/>
      <protection hidden="1"/>
    </xf>
    <xf numFmtId="0" fontId="12" fillId="0" borderId="38" xfId="0" applyFont="1" applyBorder="1" applyAlignment="1" applyProtection="1">
      <alignment horizontal="center"/>
      <protection hidden="1"/>
    </xf>
    <xf numFmtId="16" fontId="12" fillId="0" borderId="0" xfId="0" quotePrefix="1" applyNumberFormat="1" applyFont="1" applyBorder="1" applyAlignment="1" applyProtection="1">
      <alignment horizontal="center"/>
      <protection hidden="1"/>
    </xf>
    <xf numFmtId="0" fontId="12" fillId="0" borderId="40" xfId="0" applyFont="1" applyBorder="1" applyAlignment="1" applyProtection="1">
      <alignment horizontal="center"/>
      <protection hidden="1"/>
    </xf>
    <xf numFmtId="7" fontId="12" fillId="0" borderId="0" xfId="0" applyNumberFormat="1" applyFont="1" applyBorder="1" applyAlignment="1" applyProtection="1">
      <alignment horizontal="center"/>
      <protection hidden="1"/>
    </xf>
    <xf numFmtId="7" fontId="12" fillId="0" borderId="0" xfId="0" applyNumberFormat="1" applyFont="1" applyFill="1" applyBorder="1" applyAlignment="1" applyProtection="1">
      <alignment horizontal="center"/>
      <protection hidden="1"/>
    </xf>
    <xf numFmtId="39" fontId="12" fillId="0" borderId="0" xfId="0" applyNumberFormat="1" applyFont="1" applyProtection="1">
      <protection hidden="1"/>
    </xf>
    <xf numFmtId="39" fontId="12" fillId="0" borderId="0" xfId="0" applyNumberFormat="1" applyFont="1" applyBorder="1" applyAlignment="1" applyProtection="1">
      <alignment horizontal="center"/>
      <protection hidden="1"/>
    </xf>
    <xf numFmtId="7" fontId="12" fillId="0" borderId="0" xfId="0" applyNumberFormat="1" applyFont="1" applyFill="1" applyBorder="1" applyProtection="1">
      <protection hidden="1"/>
    </xf>
    <xf numFmtId="39" fontId="12" fillId="0" borderId="0" xfId="0" applyNumberFormat="1" applyFont="1" applyBorder="1" applyProtection="1">
      <protection hidden="1"/>
    </xf>
    <xf numFmtId="7" fontId="12" fillId="0" borderId="0" xfId="0" applyNumberFormat="1" applyFont="1" applyBorder="1" applyProtection="1">
      <protection hidden="1"/>
    </xf>
    <xf numFmtId="39" fontId="47" fillId="0" borderId="0" xfId="0" applyNumberFormat="1" applyFont="1" applyBorder="1" applyProtection="1">
      <protection hidden="1"/>
    </xf>
    <xf numFmtId="0" fontId="12" fillId="0" borderId="5" xfId="0" applyFont="1" applyBorder="1" applyProtection="1">
      <protection hidden="1"/>
    </xf>
    <xf numFmtId="0" fontId="12" fillId="0" borderId="0" xfId="0" applyFont="1" applyFill="1" applyBorder="1" applyProtection="1">
      <protection hidden="1"/>
    </xf>
    <xf numFmtId="1" fontId="12" fillId="0" borderId="41" xfId="0" quotePrefix="1" applyNumberFormat="1" applyFont="1" applyBorder="1" applyAlignment="1" applyProtection="1">
      <alignment horizontal="center" vertical="center"/>
      <protection hidden="1"/>
    </xf>
    <xf numFmtId="1" fontId="12" fillId="0" borderId="42" xfId="0" quotePrefix="1" applyNumberFormat="1" applyFont="1" applyBorder="1" applyAlignment="1" applyProtection="1">
      <alignment horizontal="center" vertical="center"/>
      <protection hidden="1"/>
    </xf>
    <xf numFmtId="1" fontId="12" fillId="0" borderId="43" xfId="0" quotePrefix="1" applyNumberFormat="1" applyFont="1" applyBorder="1" applyAlignment="1" applyProtection="1">
      <alignment horizontal="center" vertical="center"/>
      <protection hidden="1"/>
    </xf>
    <xf numFmtId="1" fontId="12" fillId="0" borderId="44" xfId="0" quotePrefix="1" applyNumberFormat="1" applyFont="1" applyBorder="1" applyAlignment="1" applyProtection="1">
      <alignment horizontal="center" vertical="center"/>
      <protection hidden="1"/>
    </xf>
    <xf numFmtId="0" fontId="12" fillId="0" borderId="45" xfId="0" applyFont="1" applyBorder="1" applyAlignment="1" applyProtection="1">
      <alignment horizontal="center" vertical="center"/>
      <protection hidden="1"/>
    </xf>
    <xf numFmtId="0" fontId="12" fillId="0" borderId="43" xfId="0" applyFont="1" applyBorder="1" applyAlignment="1" applyProtection="1">
      <alignment horizontal="center" vertical="center"/>
      <protection hidden="1"/>
    </xf>
    <xf numFmtId="0" fontId="7" fillId="0" borderId="46" xfId="0" applyFont="1" applyBorder="1" applyProtection="1">
      <protection hidden="1"/>
    </xf>
    <xf numFmtId="0" fontId="12" fillId="0" borderId="37" xfId="0" applyFont="1" applyBorder="1" applyProtection="1">
      <protection hidden="1"/>
    </xf>
    <xf numFmtId="0" fontId="12" fillId="0" borderId="46" xfId="0" applyFont="1" applyBorder="1" applyProtection="1">
      <protection hidden="1"/>
    </xf>
    <xf numFmtId="0" fontId="12" fillId="0" borderId="28" xfId="0" applyFont="1" applyBorder="1" applyProtection="1">
      <protection hidden="1"/>
    </xf>
    <xf numFmtId="0" fontId="12" fillId="0" borderId="45" xfId="0" applyFont="1" applyBorder="1" applyProtection="1">
      <protection hidden="1"/>
    </xf>
    <xf numFmtId="1" fontId="1" fillId="0" borderId="47" xfId="0" applyNumberFormat="1" applyFont="1" applyBorder="1" applyAlignment="1" applyProtection="1">
      <alignment horizontal="center"/>
      <protection hidden="1"/>
    </xf>
    <xf numFmtId="1" fontId="12" fillId="0" borderId="48" xfId="0" applyNumberFormat="1" applyFont="1" applyBorder="1" applyAlignment="1" applyProtection="1">
      <alignment horizontal="left"/>
      <protection hidden="1"/>
    </xf>
    <xf numFmtId="0" fontId="12" fillId="0" borderId="49" xfId="0" applyFont="1" applyBorder="1" applyProtection="1">
      <protection hidden="1"/>
    </xf>
    <xf numFmtId="0" fontId="50" fillId="0" borderId="0" xfId="0" applyFont="1" applyBorder="1" applyProtection="1">
      <protection hidden="1"/>
    </xf>
    <xf numFmtId="2" fontId="12" fillId="0" borderId="0" xfId="0" applyNumberFormat="1" applyFont="1" applyProtection="1">
      <protection hidden="1"/>
    </xf>
    <xf numFmtId="1" fontId="12" fillId="0" borderId="0" xfId="0" applyNumberFormat="1" applyFont="1" applyBorder="1" applyAlignment="1" applyProtection="1">
      <alignment horizontal="left"/>
      <protection hidden="1"/>
    </xf>
    <xf numFmtId="0" fontId="52" fillId="0" borderId="2" xfId="0" applyFont="1" applyBorder="1" applyProtection="1">
      <protection hidden="1"/>
    </xf>
    <xf numFmtId="0" fontId="10" fillId="0" borderId="50" xfId="0" applyFont="1" applyBorder="1" applyProtection="1">
      <protection hidden="1"/>
    </xf>
    <xf numFmtId="0" fontId="10" fillId="0" borderId="51" xfId="0" applyFont="1" applyBorder="1" applyAlignment="1" applyProtection="1">
      <alignment horizontal="center"/>
      <protection hidden="1"/>
    </xf>
    <xf numFmtId="0" fontId="10" fillId="0" borderId="2" xfId="0" applyFont="1" applyBorder="1" applyAlignment="1" applyProtection="1">
      <alignment horizontal="left"/>
      <protection hidden="1"/>
    </xf>
    <xf numFmtId="0" fontId="10" fillId="0" borderId="52" xfId="0" applyFont="1" applyBorder="1" applyAlignment="1" applyProtection="1">
      <alignment horizontal="right"/>
      <protection hidden="1"/>
    </xf>
    <xf numFmtId="0" fontId="10" fillId="0" borderId="3" xfId="0" applyFont="1" applyBorder="1" applyAlignment="1" applyProtection="1">
      <alignment horizontal="left"/>
      <protection hidden="1"/>
    </xf>
    <xf numFmtId="0" fontId="10" fillId="0" borderId="53" xfId="0" applyFont="1" applyBorder="1" applyAlignment="1" applyProtection="1">
      <alignment horizontal="right"/>
      <protection hidden="1"/>
    </xf>
    <xf numFmtId="0" fontId="10" fillId="0" borderId="0" xfId="0" applyFont="1" applyBorder="1" applyAlignment="1" applyProtection="1">
      <alignment horizontal="right"/>
      <protection hidden="1"/>
    </xf>
    <xf numFmtId="0" fontId="52" fillId="0" borderId="2" xfId="0" applyFont="1" applyBorder="1" applyAlignment="1" applyProtection="1">
      <alignment horizontal="left"/>
      <protection hidden="1"/>
    </xf>
    <xf numFmtId="0" fontId="52" fillId="0" borderId="52" xfId="0" applyFont="1" applyBorder="1" applyAlignment="1" applyProtection="1">
      <alignment horizontal="left"/>
      <protection hidden="1"/>
    </xf>
    <xf numFmtId="0" fontId="52" fillId="0" borderId="2" xfId="0" quotePrefix="1" applyFont="1" applyBorder="1" applyAlignment="1" applyProtection="1">
      <alignment horizontal="left"/>
      <protection hidden="1"/>
    </xf>
    <xf numFmtId="0" fontId="52" fillId="0" borderId="33" xfId="0" applyFont="1" applyBorder="1" applyAlignment="1" applyProtection="1">
      <alignment horizontal="right"/>
      <protection hidden="1"/>
    </xf>
    <xf numFmtId="0" fontId="54" fillId="0" borderId="0" xfId="0" applyFont="1" applyBorder="1" applyAlignment="1" applyProtection="1">
      <alignment horizontal="right"/>
      <protection hidden="1"/>
    </xf>
    <xf numFmtId="0" fontId="52" fillId="0" borderId="52" xfId="0" applyFont="1" applyBorder="1" applyProtection="1">
      <protection hidden="1"/>
    </xf>
    <xf numFmtId="0" fontId="52" fillId="0" borderId="33" xfId="0" applyFont="1" applyBorder="1" applyProtection="1">
      <protection hidden="1"/>
    </xf>
    <xf numFmtId="0" fontId="52" fillId="0" borderId="0" xfId="0" applyFont="1" applyBorder="1" applyProtection="1">
      <protection hidden="1"/>
    </xf>
    <xf numFmtId="0" fontId="56" fillId="0" borderId="2" xfId="0" quotePrefix="1" applyFont="1" applyBorder="1" applyAlignment="1" applyProtection="1">
      <alignment horizontal="left"/>
      <protection hidden="1"/>
    </xf>
    <xf numFmtId="0" fontId="54" fillId="0" borderId="0" xfId="0" applyFont="1" applyBorder="1" applyProtection="1">
      <protection hidden="1"/>
    </xf>
    <xf numFmtId="0" fontId="56" fillId="0" borderId="2" xfId="0" applyFont="1" applyBorder="1" applyProtection="1">
      <protection hidden="1"/>
    </xf>
    <xf numFmtId="0" fontId="52" fillId="0" borderId="3" xfId="0" applyFont="1" applyBorder="1" applyProtection="1">
      <protection hidden="1"/>
    </xf>
    <xf numFmtId="0" fontId="52" fillId="0" borderId="53" xfId="0" applyFont="1" applyBorder="1" applyProtection="1">
      <protection hidden="1"/>
    </xf>
    <xf numFmtId="0" fontId="60" fillId="0" borderId="52" xfId="0" applyFont="1" applyBorder="1" applyProtection="1">
      <protection hidden="1"/>
    </xf>
    <xf numFmtId="0" fontId="56" fillId="3" borderId="52" xfId="0" applyFont="1" applyFill="1" applyBorder="1" applyProtection="1">
      <protection hidden="1"/>
    </xf>
    <xf numFmtId="0" fontId="54" fillId="3" borderId="52" xfId="0" applyFont="1" applyFill="1" applyBorder="1" applyProtection="1">
      <protection hidden="1"/>
    </xf>
    <xf numFmtId="0" fontId="54" fillId="0" borderId="53" xfId="0" applyFont="1" applyBorder="1" applyProtection="1">
      <protection hidden="1"/>
    </xf>
    <xf numFmtId="0" fontId="4" fillId="2" borderId="61" xfId="0" applyNumberFormat="1" applyFont="1" applyFill="1" applyBorder="1" applyAlignment="1" applyProtection="1">
      <alignment horizontal="right"/>
      <protection locked="0"/>
    </xf>
    <xf numFmtId="0" fontId="4" fillId="2" borderId="62" xfId="0" applyNumberFormat="1" applyFont="1" applyFill="1" applyBorder="1" applyAlignment="1" applyProtection="1">
      <alignment horizontal="right"/>
      <protection locked="0"/>
    </xf>
    <xf numFmtId="0" fontId="4" fillId="2" borderId="63" xfId="0" applyNumberFormat="1" applyFont="1" applyFill="1" applyBorder="1" applyAlignment="1" applyProtection="1">
      <alignment horizontal="right"/>
      <protection locked="0"/>
    </xf>
    <xf numFmtId="0" fontId="4" fillId="2" borderId="64" xfId="0" applyNumberFormat="1" applyFont="1" applyFill="1" applyBorder="1" applyAlignment="1" applyProtection="1">
      <alignment horizontal="right"/>
      <protection locked="0"/>
    </xf>
    <xf numFmtId="0" fontId="4" fillId="2" borderId="65" xfId="0" applyNumberFormat="1" applyFont="1" applyFill="1" applyBorder="1" applyAlignment="1" applyProtection="1">
      <alignment horizontal="right"/>
      <protection locked="0"/>
    </xf>
    <xf numFmtId="0" fontId="4" fillId="2" borderId="60" xfId="0" applyNumberFormat="1" applyFont="1" applyFill="1" applyBorder="1" applyAlignment="1" applyProtection="1">
      <alignment horizontal="right"/>
      <protection locked="0"/>
    </xf>
    <xf numFmtId="0" fontId="4" fillId="2" borderId="3" xfId="0" applyNumberFormat="1" applyFont="1" applyFill="1" applyBorder="1" applyAlignment="1" applyProtection="1">
      <alignment horizontal="right"/>
      <protection locked="0"/>
    </xf>
    <xf numFmtId="16" fontId="4" fillId="0" borderId="0" xfId="0" quotePrefix="1" applyNumberFormat="1" applyFont="1" applyBorder="1" applyAlignment="1" applyProtection="1">
      <alignment horizontal="center"/>
      <protection hidden="1"/>
    </xf>
    <xf numFmtId="39" fontId="4" fillId="0" borderId="0" xfId="0" applyNumberFormat="1" applyFont="1" applyBorder="1" applyProtection="1">
      <protection hidden="1"/>
    </xf>
    <xf numFmtId="0" fontId="9" fillId="0" borderId="68" xfId="0" applyFont="1" applyBorder="1" applyAlignment="1" applyProtection="1">
      <alignment vertical="center"/>
      <protection hidden="1"/>
    </xf>
    <xf numFmtId="1" fontId="9" fillId="0" borderId="52" xfId="0" quotePrefix="1" applyNumberFormat="1" applyFont="1" applyBorder="1" applyAlignment="1" applyProtection="1">
      <alignment horizontal="left" vertical="center"/>
      <protection hidden="1"/>
    </xf>
    <xf numFmtId="0" fontId="9" fillId="0" borderId="56" xfId="0" applyFont="1" applyBorder="1" applyAlignment="1" applyProtection="1">
      <alignment vertical="center"/>
      <protection hidden="1"/>
    </xf>
    <xf numFmtId="1" fontId="9" fillId="0" borderId="69" xfId="0" quotePrefix="1" applyNumberFormat="1" applyFont="1" applyBorder="1" applyAlignment="1" applyProtection="1">
      <alignment horizontal="left" vertical="center"/>
      <protection hidden="1"/>
    </xf>
    <xf numFmtId="0" fontId="9" fillId="0" borderId="70" xfId="0" applyFont="1" applyBorder="1" applyAlignment="1" applyProtection="1">
      <alignment vertical="center"/>
      <protection hidden="1"/>
    </xf>
    <xf numFmtId="0" fontId="9" fillId="0" borderId="23" xfId="0" applyFont="1" applyBorder="1" applyAlignment="1" applyProtection="1">
      <alignment vertical="center"/>
      <protection hidden="1"/>
    </xf>
    <xf numFmtId="1" fontId="9" fillId="0" borderId="29" xfId="0" quotePrefix="1" applyNumberFormat="1" applyFont="1" applyBorder="1" applyAlignment="1" applyProtection="1">
      <alignment horizontal="left" vertical="center"/>
      <protection hidden="1"/>
    </xf>
    <xf numFmtId="0" fontId="9" fillId="0" borderId="58" xfId="0" applyFont="1" applyBorder="1" applyAlignment="1" applyProtection="1">
      <alignment vertical="center"/>
      <protection hidden="1"/>
    </xf>
    <xf numFmtId="0" fontId="9" fillId="3" borderId="23" xfId="0" applyFont="1" applyFill="1" applyBorder="1" applyAlignment="1" applyProtection="1">
      <alignment vertical="center"/>
      <protection hidden="1"/>
    </xf>
    <xf numFmtId="0" fontId="9" fillId="0" borderId="29" xfId="0" applyFont="1" applyBorder="1" applyAlignment="1" applyProtection="1">
      <alignment vertical="center"/>
      <protection hidden="1"/>
    </xf>
    <xf numFmtId="1" fontId="9" fillId="0" borderId="0" xfId="0" applyNumberFormat="1" applyFont="1" applyBorder="1" applyAlignment="1" applyProtection="1">
      <alignment horizontal="left" vertical="center"/>
      <protection hidden="1"/>
    </xf>
    <xf numFmtId="1" fontId="9" fillId="0" borderId="69" xfId="0" applyNumberFormat="1" applyFont="1" applyBorder="1" applyAlignment="1" applyProtection="1">
      <alignment horizontal="left" vertical="center"/>
      <protection hidden="1"/>
    </xf>
    <xf numFmtId="0" fontId="9" fillId="0" borderId="70" xfId="0" applyFont="1" applyBorder="1" applyAlignment="1" applyProtection="1">
      <alignment horizontal="left" vertical="center"/>
      <protection hidden="1"/>
    </xf>
    <xf numFmtId="0" fontId="9" fillId="3" borderId="71" xfId="0" applyFont="1" applyFill="1" applyBorder="1" applyAlignment="1" applyProtection="1">
      <alignment vertical="center"/>
      <protection hidden="1"/>
    </xf>
    <xf numFmtId="1" fontId="9" fillId="0" borderId="52" xfId="0" applyNumberFormat="1" applyFont="1" applyBorder="1" applyAlignment="1" applyProtection="1">
      <alignment horizontal="left" vertical="center"/>
      <protection hidden="1"/>
    </xf>
    <xf numFmtId="0" fontId="26" fillId="6" borderId="8" xfId="0" applyFont="1" applyFill="1" applyBorder="1" applyAlignment="1" applyProtection="1">
      <alignment horizontal="center"/>
      <protection hidden="1"/>
    </xf>
    <xf numFmtId="0" fontId="61" fillId="0" borderId="0" xfId="0" applyFont="1" applyProtection="1">
      <protection hidden="1"/>
    </xf>
    <xf numFmtId="0" fontId="62" fillId="0" borderId="0" xfId="0" applyFont="1" applyProtection="1">
      <protection hidden="1"/>
    </xf>
    <xf numFmtId="39" fontId="11" fillId="0" borderId="0" xfId="0" applyNumberFormat="1" applyFont="1" applyBorder="1" applyProtection="1">
      <protection hidden="1"/>
    </xf>
    <xf numFmtId="0" fontId="12" fillId="0" borderId="45" xfId="0" quotePrefix="1" applyNumberFormat="1" applyFont="1" applyBorder="1" applyAlignment="1" applyProtection="1">
      <alignment horizontal="center" vertical="center"/>
      <protection hidden="1"/>
    </xf>
    <xf numFmtId="1" fontId="12" fillId="0" borderId="73" xfId="0" quotePrefix="1" applyNumberFormat="1" applyFont="1" applyBorder="1" applyAlignment="1" applyProtection="1">
      <alignment horizontal="center" vertical="center"/>
      <protection hidden="1"/>
    </xf>
    <xf numFmtId="4" fontId="13" fillId="0" borderId="6" xfId="1" applyFont="1" applyFill="1" applyBorder="1" applyAlignment="1" applyProtection="1">
      <alignment horizontal="right"/>
      <protection hidden="1"/>
    </xf>
    <xf numFmtId="0" fontId="13" fillId="0" borderId="0" xfId="0" applyFont="1" applyBorder="1" applyProtection="1">
      <protection hidden="1"/>
    </xf>
    <xf numFmtId="164" fontId="13" fillId="6" borderId="7" xfId="0" applyNumberFormat="1" applyFont="1" applyFill="1" applyBorder="1" applyAlignment="1" applyProtection="1">
      <alignment horizontal="center" vertical="center"/>
      <protection hidden="1"/>
    </xf>
    <xf numFmtId="4" fontId="13" fillId="9" borderId="76" xfId="1" applyFont="1" applyFill="1" applyBorder="1" applyAlignment="1" applyProtection="1">
      <alignment horizontal="right"/>
      <protection hidden="1"/>
    </xf>
    <xf numFmtId="1" fontId="12" fillId="0" borderId="45" xfId="0" quotePrefix="1" applyNumberFormat="1" applyFont="1" applyBorder="1" applyAlignment="1" applyProtection="1">
      <alignment horizontal="center" vertical="center"/>
      <protection hidden="1"/>
    </xf>
    <xf numFmtId="39" fontId="4" fillId="0" borderId="40" xfId="0" applyNumberFormat="1" applyFont="1" applyFill="1" applyBorder="1" applyProtection="1">
      <protection hidden="1"/>
    </xf>
    <xf numFmtId="0" fontId="24" fillId="0" borderId="2" xfId="0" applyFont="1" applyBorder="1" applyProtection="1">
      <protection hidden="1"/>
    </xf>
    <xf numFmtId="0" fontId="9" fillId="0" borderId="81" xfId="0" applyFont="1" applyBorder="1" applyProtection="1">
      <protection hidden="1"/>
    </xf>
    <xf numFmtId="0" fontId="12" fillId="0" borderId="31" xfId="0" applyFont="1" applyBorder="1" applyProtection="1">
      <protection hidden="1"/>
    </xf>
    <xf numFmtId="0" fontId="9" fillId="0" borderId="83" xfId="0" applyFont="1" applyBorder="1" applyProtection="1">
      <protection hidden="1"/>
    </xf>
    <xf numFmtId="0" fontId="9" fillId="0" borderId="4" xfId="0" applyFont="1" applyBorder="1" applyProtection="1">
      <protection hidden="1"/>
    </xf>
    <xf numFmtId="2" fontId="12" fillId="0" borderId="23" xfId="0" applyNumberFormat="1" applyFont="1" applyBorder="1" applyAlignment="1" applyProtection="1">
      <alignment horizontal="right"/>
      <protection hidden="1"/>
    </xf>
    <xf numFmtId="2" fontId="9" fillId="0" borderId="23" xfId="0" applyNumberFormat="1" applyFont="1" applyBorder="1" applyAlignment="1" applyProtection="1">
      <alignment horizontal="right"/>
      <protection hidden="1"/>
    </xf>
    <xf numFmtId="2" fontId="9" fillId="0" borderId="84" xfId="0" applyNumberFormat="1" applyFont="1" applyBorder="1" applyAlignment="1" applyProtection="1">
      <alignment horizontal="right"/>
      <protection hidden="1"/>
    </xf>
    <xf numFmtId="0" fontId="7" fillId="0" borderId="28" xfId="0" applyFont="1" applyBorder="1" applyProtection="1">
      <protection hidden="1"/>
    </xf>
    <xf numFmtId="39" fontId="4" fillId="0" borderId="35" xfId="0" applyNumberFormat="1" applyFont="1" applyBorder="1" applyProtection="1">
      <protection hidden="1"/>
    </xf>
    <xf numFmtId="0" fontId="4" fillId="0" borderId="51" xfId="0" applyFont="1" applyBorder="1" applyProtection="1">
      <protection hidden="1"/>
    </xf>
    <xf numFmtId="7" fontId="12" fillId="0" borderId="46" xfId="0" applyNumberFormat="1" applyFont="1" applyBorder="1" applyProtection="1">
      <protection hidden="1"/>
    </xf>
    <xf numFmtId="0" fontId="65" fillId="0" borderId="0" xfId="0" applyFont="1"/>
    <xf numFmtId="0" fontId="66" fillId="0" borderId="0" xfId="0" applyFont="1" applyAlignment="1">
      <alignment horizontal="right"/>
    </xf>
    <xf numFmtId="0" fontId="66" fillId="0" borderId="0" xfId="0" applyFont="1"/>
    <xf numFmtId="0" fontId="66" fillId="0" borderId="0" xfId="0" applyFont="1" applyAlignment="1">
      <alignment vertical="top"/>
    </xf>
    <xf numFmtId="0" fontId="9" fillId="0" borderId="58" xfId="0" applyFont="1" applyFill="1" applyBorder="1" applyAlignment="1" applyProtection="1">
      <alignment vertical="center"/>
      <protection hidden="1"/>
    </xf>
    <xf numFmtId="1" fontId="1" fillId="0" borderId="0" xfId="0" applyNumberFormat="1" applyFont="1" applyBorder="1" applyAlignment="1" applyProtection="1">
      <alignment horizontal="center"/>
      <protection hidden="1"/>
    </xf>
    <xf numFmtId="39" fontId="13" fillId="0" borderId="0" xfId="0" applyNumberFormat="1" applyFont="1" applyBorder="1" applyAlignment="1" applyProtection="1">
      <alignment horizontal="right"/>
      <protection hidden="1"/>
    </xf>
    <xf numFmtId="39" fontId="13" fillId="0" borderId="0" xfId="0" applyNumberFormat="1" applyFont="1" applyBorder="1" applyAlignment="1" applyProtection="1">
      <protection hidden="1"/>
    </xf>
    <xf numFmtId="1" fontId="9" fillId="0" borderId="29" xfId="0" applyNumberFormat="1" applyFont="1" applyFill="1" applyBorder="1" applyAlignment="1" applyProtection="1">
      <alignment horizontal="left" vertical="center"/>
      <protection hidden="1"/>
    </xf>
    <xf numFmtId="1" fontId="13" fillId="2" borderId="58" xfId="0" applyNumberFormat="1" applyFont="1" applyFill="1" applyBorder="1" applyAlignment="1" applyProtection="1">
      <alignment horizontal="center"/>
      <protection locked="0"/>
    </xf>
    <xf numFmtId="1" fontId="13" fillId="2" borderId="91" xfId="0" applyNumberFormat="1" applyFont="1" applyFill="1" applyBorder="1" applyAlignment="1" applyProtection="1">
      <alignment horizontal="center"/>
      <protection locked="0"/>
    </xf>
    <xf numFmtId="1" fontId="13" fillId="2" borderId="56" xfId="0" applyNumberFormat="1" applyFont="1" applyFill="1" applyBorder="1" applyAlignment="1" applyProtection="1">
      <alignment horizontal="center"/>
      <protection locked="0"/>
    </xf>
    <xf numFmtId="1" fontId="13" fillId="2" borderId="70" xfId="0" applyNumberFormat="1" applyFont="1" applyFill="1" applyBorder="1" applyAlignment="1" applyProtection="1">
      <alignment horizontal="center"/>
      <protection locked="0"/>
    </xf>
    <xf numFmtId="0" fontId="12" fillId="3" borderId="92" xfId="0" applyFont="1" applyFill="1" applyBorder="1" applyProtection="1">
      <protection hidden="1"/>
    </xf>
    <xf numFmtId="8" fontId="12" fillId="3" borderId="93" xfId="2" applyFont="1" applyFill="1" applyBorder="1" applyProtection="1">
      <protection hidden="1"/>
    </xf>
    <xf numFmtId="0" fontId="12" fillId="3" borderId="93" xfId="0" applyFont="1" applyFill="1" applyBorder="1" applyProtection="1">
      <protection hidden="1"/>
    </xf>
    <xf numFmtId="0" fontId="12" fillId="3" borderId="94" xfId="0" applyFont="1" applyFill="1" applyBorder="1" applyProtection="1">
      <protection hidden="1"/>
    </xf>
    <xf numFmtId="0" fontId="12" fillId="3" borderId="95" xfId="0" applyFont="1" applyFill="1" applyBorder="1" applyProtection="1">
      <protection hidden="1"/>
    </xf>
    <xf numFmtId="0" fontId="12" fillId="4" borderId="74" xfId="0" applyFont="1" applyFill="1" applyBorder="1" applyProtection="1">
      <protection hidden="1"/>
    </xf>
    <xf numFmtId="0" fontId="12" fillId="4" borderId="26" xfId="0" applyFont="1" applyFill="1" applyBorder="1" applyProtection="1">
      <protection hidden="1"/>
    </xf>
    <xf numFmtId="0" fontId="1" fillId="4" borderId="4" xfId="0" applyFont="1" applyFill="1" applyBorder="1" applyAlignment="1" applyProtection="1">
      <alignment horizontal="center" vertical="center"/>
      <protection hidden="1"/>
    </xf>
    <xf numFmtId="0" fontId="1" fillId="4" borderId="5" xfId="0" applyFont="1" applyFill="1" applyBorder="1" applyAlignment="1" applyProtection="1">
      <alignment horizontal="center" vertical="center"/>
      <protection hidden="1"/>
    </xf>
    <xf numFmtId="0" fontId="1" fillId="4" borderId="15" xfId="0" applyFont="1" applyFill="1" applyBorder="1" applyAlignment="1" applyProtection="1">
      <alignment horizontal="center" vertical="center"/>
      <protection hidden="1"/>
    </xf>
    <xf numFmtId="0" fontId="11" fillId="0" borderId="51" xfId="0" applyFont="1" applyBorder="1" applyAlignment="1" applyProtection="1">
      <alignment horizontal="center"/>
      <protection hidden="1"/>
    </xf>
    <xf numFmtId="16" fontId="4" fillId="0" borderId="28" xfId="0" quotePrefix="1" applyNumberFormat="1" applyFont="1" applyBorder="1" applyAlignment="1" applyProtection="1">
      <alignment horizontal="center"/>
      <protection hidden="1"/>
    </xf>
    <xf numFmtId="0" fontId="4" fillId="2" borderId="63" xfId="0" applyFont="1" applyFill="1" applyBorder="1" applyAlignment="1" applyProtection="1">
      <alignment horizontal="right"/>
      <protection locked="0"/>
    </xf>
    <xf numFmtId="0" fontId="46" fillId="0" borderId="96" xfId="0" applyFont="1" applyBorder="1" applyAlignment="1" applyProtection="1">
      <alignment horizontal="center"/>
      <protection hidden="1"/>
    </xf>
    <xf numFmtId="0" fontId="4" fillId="2" borderId="3" xfId="0" applyFont="1" applyFill="1" applyBorder="1" applyAlignment="1" applyProtection="1">
      <alignment horizontal="right"/>
      <protection locked="0"/>
    </xf>
    <xf numFmtId="0" fontId="12" fillId="0" borderId="45" xfId="0" quotePrefix="1" applyFont="1" applyBorder="1" applyAlignment="1" applyProtection="1">
      <alignment horizontal="center" vertical="center"/>
      <protection hidden="1"/>
    </xf>
    <xf numFmtId="49" fontId="44" fillId="2" borderId="29" xfId="0" applyNumberFormat="1" applyFont="1" applyFill="1" applyBorder="1" applyAlignment="1" applyProtection="1">
      <alignment horizontal="right"/>
      <protection locked="0"/>
    </xf>
    <xf numFmtId="0" fontId="7" fillId="0" borderId="0" xfId="0" applyFont="1" applyFill="1" applyBorder="1" applyAlignment="1" applyProtection="1">
      <alignment horizontal="center"/>
      <protection hidden="1"/>
    </xf>
    <xf numFmtId="164" fontId="13" fillId="0" borderId="79" xfId="0" applyNumberFormat="1" applyFont="1" applyFill="1" applyBorder="1" applyAlignment="1" applyProtection="1">
      <alignment horizontal="right"/>
      <protection hidden="1"/>
    </xf>
    <xf numFmtId="0" fontId="69" fillId="0" borderId="0" xfId="0" applyFont="1" applyBorder="1" applyAlignment="1" applyProtection="1">
      <alignment horizontal="right" vertical="center"/>
      <protection hidden="1"/>
    </xf>
    <xf numFmtId="4" fontId="13" fillId="0" borderId="79" xfId="1" applyFont="1" applyFill="1" applyBorder="1" applyAlignment="1" applyProtection="1">
      <alignment horizontal="right"/>
      <protection hidden="1"/>
    </xf>
    <xf numFmtId="164" fontId="13" fillId="0" borderId="36" xfId="0" applyNumberFormat="1" applyFont="1" applyFill="1" applyBorder="1" applyAlignment="1" applyProtection="1">
      <alignment horizontal="center" vertical="center"/>
      <protection hidden="1"/>
    </xf>
    <xf numFmtId="164" fontId="13" fillId="0" borderId="36" xfId="0" applyNumberFormat="1" applyFont="1" applyFill="1" applyBorder="1" applyAlignment="1" applyProtection="1">
      <alignment horizontal="right"/>
      <protection locked="0"/>
    </xf>
    <xf numFmtId="164" fontId="13" fillId="0" borderId="0" xfId="0" applyNumberFormat="1" applyFont="1" applyFill="1" applyBorder="1" applyAlignment="1" applyProtection="1">
      <alignment horizontal="right"/>
      <protection locked="0"/>
    </xf>
    <xf numFmtId="164" fontId="13" fillId="0" borderId="82" xfId="0" applyNumberFormat="1" applyFont="1" applyFill="1" applyBorder="1" applyAlignment="1" applyProtection="1">
      <alignment horizontal="center"/>
      <protection hidden="1"/>
    </xf>
    <xf numFmtId="4" fontId="13" fillId="0" borderId="28" xfId="1" applyFont="1" applyFill="1" applyBorder="1" applyAlignment="1" applyProtection="1">
      <protection hidden="1"/>
    </xf>
    <xf numFmtId="164" fontId="13" fillId="0" borderId="51" xfId="0" applyNumberFormat="1" applyFont="1" applyFill="1" applyBorder="1" applyAlignment="1" applyProtection="1">
      <alignment horizontal="right"/>
      <protection hidden="1"/>
    </xf>
    <xf numFmtId="16" fontId="4" fillId="0" borderId="0" xfId="0" applyNumberFormat="1" applyFont="1" applyBorder="1" applyAlignment="1" applyProtection="1">
      <alignment horizontal="center"/>
      <protection hidden="1"/>
    </xf>
    <xf numFmtId="165" fontId="13" fillId="6" borderId="110" xfId="0" applyNumberFormat="1" applyFont="1" applyFill="1" applyBorder="1" applyAlignment="1" applyProtection="1">
      <alignment vertical="center"/>
      <protection hidden="1"/>
    </xf>
    <xf numFmtId="164" fontId="13" fillId="11" borderId="7" xfId="0" applyNumberFormat="1" applyFont="1" applyFill="1" applyBorder="1" applyAlignment="1" applyProtection="1">
      <alignment horizontal="center" vertical="center"/>
      <protection hidden="1"/>
    </xf>
    <xf numFmtId="0" fontId="13" fillId="11" borderId="106" xfId="0" applyFont="1" applyFill="1" applyBorder="1" applyAlignment="1" applyProtection="1">
      <alignment horizontal="center"/>
      <protection hidden="1"/>
    </xf>
    <xf numFmtId="0" fontId="13" fillId="11" borderId="10" xfId="0" applyFont="1" applyFill="1" applyBorder="1" applyAlignment="1" applyProtection="1">
      <alignment horizontal="center" vertical="center"/>
      <protection hidden="1"/>
    </xf>
    <xf numFmtId="0" fontId="9" fillId="11" borderId="11" xfId="0" applyFont="1" applyFill="1" applyBorder="1" applyAlignment="1" applyProtection="1">
      <alignment horizontal="center" vertical="center"/>
      <protection hidden="1"/>
    </xf>
    <xf numFmtId="0" fontId="13" fillId="11" borderId="12" xfId="0" applyFont="1" applyFill="1" applyBorder="1" applyAlignment="1" applyProtection="1">
      <alignment horizontal="center" vertical="center"/>
      <protection hidden="1"/>
    </xf>
    <xf numFmtId="164" fontId="13" fillId="11" borderId="10" xfId="0" applyNumberFormat="1" applyFont="1" applyFill="1" applyBorder="1" applyAlignment="1" applyProtection="1">
      <alignment horizontal="center" vertical="center"/>
      <protection hidden="1"/>
    </xf>
    <xf numFmtId="165" fontId="13" fillId="11" borderId="12" xfId="0" applyNumberFormat="1" applyFont="1" applyFill="1" applyBorder="1" applyAlignment="1" applyProtection="1">
      <alignment horizontal="center" vertical="center"/>
      <protection hidden="1"/>
    </xf>
    <xf numFmtId="0" fontId="56" fillId="0" borderId="54" xfId="0" applyFont="1" applyBorder="1" applyProtection="1">
      <protection hidden="1"/>
    </xf>
    <xf numFmtId="0" fontId="52" fillId="0" borderId="55" xfId="0" applyFont="1" applyBorder="1" applyProtection="1">
      <protection hidden="1"/>
    </xf>
    <xf numFmtId="0" fontId="12" fillId="4" borderId="75" xfId="0" applyFont="1" applyFill="1" applyBorder="1" applyProtection="1">
      <protection hidden="1"/>
    </xf>
    <xf numFmtId="2" fontId="9" fillId="0" borderId="24" xfId="0" applyNumberFormat="1" applyFont="1" applyBorder="1" applyAlignment="1" applyProtection="1">
      <alignment horizontal="right"/>
      <protection hidden="1"/>
    </xf>
    <xf numFmtId="0" fontId="12" fillId="0" borderId="77" xfId="0" applyFont="1" applyBorder="1" applyAlignment="1" applyProtection="1">
      <alignment horizontal="right"/>
      <protection hidden="1"/>
    </xf>
    <xf numFmtId="2" fontId="12" fillId="0" borderId="77" xfId="0" applyNumberFormat="1" applyFont="1" applyBorder="1" applyAlignment="1" applyProtection="1">
      <alignment horizontal="right"/>
      <protection hidden="1"/>
    </xf>
    <xf numFmtId="2" fontId="12" fillId="0" borderId="84" xfId="0" applyNumberFormat="1" applyFont="1" applyBorder="1" applyAlignment="1" applyProtection="1">
      <alignment horizontal="right"/>
      <protection hidden="1"/>
    </xf>
    <xf numFmtId="4" fontId="13" fillId="0" borderId="122" xfId="1" applyFont="1" applyFill="1" applyBorder="1" applyProtection="1">
      <protection hidden="1"/>
    </xf>
    <xf numFmtId="39" fontId="68" fillId="0" borderId="0" xfId="0" applyNumberFormat="1" applyFont="1" applyBorder="1" applyAlignment="1" applyProtection="1">
      <alignment horizontal="right" vertical="center"/>
      <protection hidden="1"/>
    </xf>
    <xf numFmtId="1" fontId="9" fillId="0" borderId="67" xfId="0" applyNumberFormat="1" applyFont="1" applyBorder="1" applyAlignment="1" applyProtection="1">
      <alignment horizontal="left" vertical="center"/>
      <protection hidden="1"/>
    </xf>
    <xf numFmtId="15" fontId="46" fillId="0" borderId="99" xfId="0" applyNumberFormat="1" applyFont="1" applyBorder="1" applyAlignment="1" applyProtection="1">
      <alignment horizontal="center"/>
      <protection hidden="1"/>
    </xf>
    <xf numFmtId="49" fontId="12" fillId="0" borderId="0" xfId="0" applyNumberFormat="1" applyFont="1" applyBorder="1" applyAlignment="1" applyProtection="1">
      <alignment horizontal="center"/>
      <protection hidden="1"/>
    </xf>
    <xf numFmtId="49" fontId="0" fillId="0" borderId="34" xfId="0" applyNumberFormat="1" applyBorder="1" applyAlignment="1" applyProtection="1">
      <alignment horizontal="center"/>
      <protection hidden="1"/>
    </xf>
    <xf numFmtId="49" fontId="7" fillId="0" borderId="0" xfId="0" applyNumberFormat="1" applyFont="1" applyFill="1" applyBorder="1" applyAlignment="1" applyProtection="1">
      <alignment horizontal="center"/>
      <protection hidden="1"/>
    </xf>
    <xf numFmtId="49" fontId="13" fillId="0" borderId="0" xfId="0" applyNumberFormat="1" applyFont="1" applyFill="1" applyBorder="1" applyAlignment="1" applyProtection="1">
      <alignment horizontal="center"/>
      <protection hidden="1"/>
    </xf>
    <xf numFmtId="49" fontId="0" fillId="0" borderId="0" xfId="0" applyNumberFormat="1" applyBorder="1" applyAlignment="1" applyProtection="1">
      <alignment horizontal="center"/>
      <protection hidden="1"/>
    </xf>
    <xf numFmtId="49" fontId="2" fillId="0" borderId="0" xfId="0" applyNumberFormat="1" applyFont="1" applyBorder="1" applyAlignment="1" applyProtection="1">
      <alignment horizontal="center"/>
      <protection hidden="1"/>
    </xf>
    <xf numFmtId="49" fontId="7" fillId="0" borderId="0" xfId="0" applyNumberFormat="1" applyFont="1" applyAlignment="1" applyProtection="1">
      <alignment horizontal="center"/>
      <protection hidden="1"/>
    </xf>
    <xf numFmtId="49" fontId="10" fillId="0" borderId="61" xfId="0" applyNumberFormat="1" applyFont="1" applyBorder="1" applyAlignment="1" applyProtection="1">
      <alignment horizontal="center"/>
      <protection hidden="1"/>
    </xf>
    <xf numFmtId="49" fontId="10" fillId="0" borderId="65" xfId="0" applyNumberFormat="1" applyFont="1" applyBorder="1" applyAlignment="1" applyProtection="1">
      <alignment horizontal="center"/>
      <protection hidden="1"/>
    </xf>
    <xf numFmtId="49" fontId="10" fillId="0" borderId="0" xfId="0" applyNumberFormat="1" applyFont="1" applyBorder="1" applyAlignment="1" applyProtection="1">
      <alignment horizontal="center"/>
      <protection hidden="1"/>
    </xf>
    <xf numFmtId="49" fontId="54" fillId="0" borderId="36" xfId="0" applyNumberFormat="1" applyFont="1" applyBorder="1" applyAlignment="1" applyProtection="1">
      <alignment horizontal="center"/>
      <protection hidden="1"/>
    </xf>
    <xf numFmtId="49" fontId="55" fillId="0" borderId="61" xfId="0" quotePrefix="1" applyNumberFormat="1" applyFont="1" applyBorder="1" applyAlignment="1" applyProtection="1">
      <alignment horizontal="center"/>
      <protection hidden="1"/>
    </xf>
    <xf numFmtId="49" fontId="55" fillId="0" borderId="36" xfId="0" applyNumberFormat="1" applyFont="1" applyBorder="1" applyAlignment="1" applyProtection="1">
      <alignment horizontal="center"/>
      <protection hidden="1"/>
    </xf>
    <xf numFmtId="49" fontId="55" fillId="0" borderId="61" xfId="0" applyNumberFormat="1" applyFont="1" applyBorder="1" applyAlignment="1" applyProtection="1">
      <alignment horizontal="center"/>
      <protection hidden="1"/>
    </xf>
    <xf numFmtId="49" fontId="55" fillId="0" borderId="65" xfId="0" quotePrefix="1" applyNumberFormat="1" applyFont="1" applyBorder="1" applyAlignment="1" applyProtection="1">
      <alignment horizontal="center"/>
      <protection hidden="1"/>
    </xf>
    <xf numFmtId="49" fontId="54" fillId="0" borderId="65" xfId="0" quotePrefix="1" applyNumberFormat="1" applyFont="1" applyBorder="1" applyAlignment="1" applyProtection="1">
      <alignment horizontal="center"/>
      <protection hidden="1"/>
    </xf>
    <xf numFmtId="49" fontId="12" fillId="0" borderId="40" xfId="0" applyNumberFormat="1" applyFont="1" applyBorder="1" applyAlignment="1" applyProtection="1">
      <alignment horizontal="center"/>
      <protection hidden="1"/>
    </xf>
    <xf numFmtId="49" fontId="12" fillId="0" borderId="37" xfId="0" applyNumberFormat="1" applyFont="1" applyBorder="1" applyAlignment="1" applyProtection="1">
      <alignment horizontal="center"/>
      <protection hidden="1"/>
    </xf>
    <xf numFmtId="49" fontId="12" fillId="0" borderId="0" xfId="0" applyNumberFormat="1" applyFont="1" applyAlignment="1" applyProtection="1">
      <alignment horizontal="center"/>
      <protection hidden="1"/>
    </xf>
    <xf numFmtId="49" fontId="13" fillId="0" borderId="0" xfId="0" quotePrefix="1" applyNumberFormat="1" applyFont="1" applyFill="1" applyBorder="1" applyAlignment="1" applyProtection="1">
      <alignment horizontal="center"/>
      <protection hidden="1"/>
    </xf>
    <xf numFmtId="49" fontId="0" fillId="0" borderId="0" xfId="0" applyNumberFormat="1" applyAlignment="1" applyProtection="1">
      <alignment horizontal="center"/>
      <protection hidden="1"/>
    </xf>
    <xf numFmtId="49" fontId="0" fillId="0" borderId="66" xfId="0" applyNumberFormat="1" applyBorder="1" applyAlignment="1" applyProtection="1">
      <alignment horizontal="center"/>
      <protection hidden="1"/>
    </xf>
    <xf numFmtId="49" fontId="0" fillId="0" borderId="61" xfId="0" applyNumberFormat="1" applyBorder="1" applyAlignment="1" applyProtection="1">
      <alignment horizontal="center"/>
      <protection hidden="1"/>
    </xf>
    <xf numFmtId="49" fontId="0" fillId="0" borderId="61" xfId="0" applyNumberFormat="1" applyFill="1" applyBorder="1" applyAlignment="1" applyProtection="1">
      <alignment horizontal="center"/>
      <protection hidden="1"/>
    </xf>
    <xf numFmtId="49" fontId="54" fillId="0" borderId="36" xfId="0" applyNumberFormat="1" applyFont="1" applyFill="1" applyBorder="1" applyAlignment="1" applyProtection="1">
      <alignment horizontal="center"/>
      <protection hidden="1"/>
    </xf>
    <xf numFmtId="0" fontId="43" fillId="11" borderId="106" xfId="0" applyFont="1" applyFill="1" applyBorder="1" applyAlignment="1" applyProtection="1">
      <protection hidden="1"/>
    </xf>
    <xf numFmtId="0" fontId="43" fillId="11" borderId="98" xfId="0" applyFont="1" applyFill="1" applyBorder="1" applyAlignment="1" applyProtection="1">
      <protection hidden="1"/>
    </xf>
    <xf numFmtId="164" fontId="13" fillId="2" borderId="100" xfId="0" applyNumberFormat="1" applyFont="1" applyFill="1" applyBorder="1" applyAlignment="1" applyProtection="1">
      <protection locked="0"/>
    </xf>
    <xf numFmtId="164" fontId="13" fillId="2" borderId="67" xfId="0" applyNumberFormat="1" applyFont="1" applyFill="1" applyBorder="1" applyAlignment="1" applyProtection="1">
      <protection locked="0"/>
    </xf>
    <xf numFmtId="164" fontId="13" fillId="2" borderId="88" xfId="0" applyNumberFormat="1" applyFont="1" applyFill="1" applyBorder="1" applyAlignment="1" applyProtection="1">
      <protection locked="0"/>
    </xf>
    <xf numFmtId="164" fontId="13" fillId="2" borderId="52" xfId="0" applyNumberFormat="1" applyFont="1" applyFill="1" applyBorder="1" applyAlignment="1" applyProtection="1">
      <protection locked="0"/>
    </xf>
    <xf numFmtId="164" fontId="13" fillId="2" borderId="102" xfId="0" applyNumberFormat="1" applyFont="1" applyFill="1" applyBorder="1" applyAlignment="1" applyProtection="1">
      <protection locked="0"/>
    </xf>
    <xf numFmtId="164" fontId="13" fillId="2" borderId="103" xfId="0" applyNumberFormat="1" applyFont="1" applyFill="1" applyBorder="1" applyAlignment="1" applyProtection="1">
      <protection locked="0"/>
    </xf>
    <xf numFmtId="0" fontId="43" fillId="6" borderId="106" xfId="0" applyFont="1" applyFill="1" applyBorder="1" applyAlignment="1" applyProtection="1">
      <protection hidden="1"/>
    </xf>
    <xf numFmtId="0" fontId="43" fillId="6" borderId="98" xfId="0" applyFont="1" applyFill="1" applyBorder="1" applyAlignment="1" applyProtection="1">
      <protection hidden="1"/>
    </xf>
    <xf numFmtId="164" fontId="13" fillId="2" borderId="68" xfId="0" applyNumberFormat="1" applyFont="1" applyFill="1" applyBorder="1" applyAlignment="1" applyProtection="1">
      <protection locked="0"/>
    </xf>
    <xf numFmtId="164" fontId="13" fillId="2" borderId="56" xfId="0" applyNumberFormat="1" applyFont="1" applyFill="1" applyBorder="1" applyAlignment="1" applyProtection="1">
      <protection locked="0"/>
    </xf>
    <xf numFmtId="164" fontId="13" fillId="2" borderId="91" xfId="0" applyNumberFormat="1" applyFont="1" applyFill="1" applyBorder="1" applyAlignment="1" applyProtection="1">
      <protection locked="0"/>
    </xf>
    <xf numFmtId="0" fontId="13" fillId="2" borderId="89" xfId="0" applyNumberFormat="1" applyFont="1" applyFill="1" applyBorder="1" applyAlignment="1" applyProtection="1">
      <alignment horizontal="center"/>
      <protection locked="0"/>
    </xf>
    <xf numFmtId="0" fontId="13" fillId="2" borderId="88" xfId="0" applyNumberFormat="1" applyFont="1" applyFill="1" applyBorder="1" applyAlignment="1" applyProtection="1">
      <alignment horizontal="center"/>
      <protection locked="0"/>
    </xf>
    <xf numFmtId="0" fontId="13" fillId="2" borderId="102" xfId="0" applyNumberFormat="1" applyFont="1" applyFill="1" applyBorder="1" applyAlignment="1" applyProtection="1">
      <alignment horizontal="center"/>
      <protection locked="0"/>
    </xf>
    <xf numFmtId="0" fontId="13" fillId="6" borderId="110" xfId="0" applyFont="1" applyFill="1" applyBorder="1" applyAlignment="1" applyProtection="1">
      <alignment horizontal="center"/>
      <protection hidden="1"/>
    </xf>
    <xf numFmtId="4" fontId="13" fillId="0" borderId="76" xfId="1" applyFont="1" applyFill="1" applyBorder="1" applyAlignment="1" applyProtection="1">
      <protection hidden="1"/>
    </xf>
    <xf numFmtId="164" fontId="13" fillId="6" borderId="7" xfId="0" applyNumberFormat="1" applyFont="1" applyFill="1" applyBorder="1" applyAlignment="1" applyProtection="1">
      <alignment vertical="center"/>
      <protection hidden="1"/>
    </xf>
    <xf numFmtId="49" fontId="12" fillId="0" borderId="46" xfId="0" applyNumberFormat="1" applyFont="1" applyBorder="1" applyAlignment="1" applyProtection="1">
      <alignment horizontal="center"/>
      <protection hidden="1"/>
    </xf>
    <xf numFmtId="39" fontId="4" fillId="0" borderId="0" xfId="0" applyNumberFormat="1" applyFont="1" applyBorder="1" applyAlignment="1" applyProtection="1">
      <alignment horizontal="center"/>
      <protection hidden="1"/>
    </xf>
    <xf numFmtId="167" fontId="4" fillId="7" borderId="61" xfId="0" applyNumberFormat="1" applyFont="1" applyFill="1" applyBorder="1" applyAlignment="1" applyProtection="1">
      <alignment horizontal="right"/>
      <protection hidden="1"/>
    </xf>
    <xf numFmtId="0" fontId="52" fillId="0" borderId="57" xfId="0" applyFont="1" applyBorder="1" applyAlignment="1" applyProtection="1">
      <alignment horizontal="left"/>
      <protection hidden="1"/>
    </xf>
    <xf numFmtId="0" fontId="52" fillId="0" borderId="29" xfId="0" applyFont="1" applyBorder="1" applyAlignment="1" applyProtection="1">
      <alignment horizontal="left"/>
      <protection hidden="1"/>
    </xf>
    <xf numFmtId="49" fontId="0" fillId="0" borderId="72" xfId="0" applyNumberFormat="1" applyBorder="1" applyAlignment="1" applyProtection="1">
      <alignment horizontal="center"/>
      <protection hidden="1"/>
    </xf>
    <xf numFmtId="0" fontId="52" fillId="0" borderId="46" xfId="0" applyFont="1" applyBorder="1" applyAlignment="1" applyProtection="1">
      <alignment horizontal="left"/>
      <protection hidden="1"/>
    </xf>
    <xf numFmtId="0" fontId="52" fillId="0" borderId="28" xfId="0" applyFont="1" applyBorder="1" applyAlignment="1" applyProtection="1">
      <alignment horizontal="left"/>
      <protection hidden="1"/>
    </xf>
    <xf numFmtId="49" fontId="0" fillId="0" borderId="40" xfId="0" applyNumberFormat="1" applyBorder="1" applyAlignment="1" applyProtection="1">
      <alignment horizontal="center"/>
      <protection hidden="1"/>
    </xf>
    <xf numFmtId="40" fontId="4" fillId="7" borderId="40" xfId="0" applyNumberFormat="1" applyFont="1" applyFill="1" applyBorder="1" applyAlignment="1" applyProtection="1">
      <alignment horizontal="right"/>
      <protection hidden="1"/>
    </xf>
    <xf numFmtId="40" fontId="4" fillId="7" borderId="62" xfId="0" applyNumberFormat="1" applyFont="1" applyFill="1" applyBorder="1" applyAlignment="1" applyProtection="1">
      <alignment horizontal="right"/>
      <protection hidden="1"/>
    </xf>
    <xf numFmtId="40" fontId="7" fillId="0" borderId="0" xfId="0" applyNumberFormat="1" applyFont="1" applyFill="1" applyBorder="1" applyAlignment="1" applyProtection="1">
      <alignment horizontal="center"/>
      <protection hidden="1"/>
    </xf>
    <xf numFmtId="40" fontId="4" fillId="0" borderId="51" xfId="0" applyNumberFormat="1" applyFont="1" applyFill="1" applyBorder="1" applyAlignment="1" applyProtection="1">
      <alignment horizontal="right"/>
      <protection hidden="1"/>
    </xf>
    <xf numFmtId="40" fontId="4" fillId="0" borderId="23" xfId="0" applyNumberFormat="1" applyFont="1" applyBorder="1" applyProtection="1">
      <protection hidden="1"/>
    </xf>
    <xf numFmtId="40" fontId="63" fillId="8" borderId="40" xfId="0" applyNumberFormat="1" applyFont="1" applyFill="1" applyBorder="1" applyProtection="1">
      <protection hidden="1"/>
    </xf>
    <xf numFmtId="40" fontId="12" fillId="0" borderId="0" xfId="0" applyNumberFormat="1" applyFont="1" applyProtection="1">
      <protection hidden="1"/>
    </xf>
    <xf numFmtId="166" fontId="4" fillId="7" borderId="40" xfId="0" applyNumberFormat="1" applyFont="1" applyFill="1" applyBorder="1" applyAlignment="1" applyProtection="1">
      <alignment horizontal="right"/>
      <protection hidden="1"/>
    </xf>
    <xf numFmtId="166" fontId="13" fillId="2" borderId="40" xfId="0" applyNumberFormat="1" applyFont="1" applyFill="1" applyBorder="1" applyAlignment="1" applyProtection="1">
      <alignment horizontal="right"/>
      <protection locked="0"/>
    </xf>
    <xf numFmtId="166" fontId="4" fillId="2" borderId="72" xfId="0" applyNumberFormat="1" applyFont="1" applyFill="1" applyBorder="1" applyAlignment="1" applyProtection="1">
      <alignment horizontal="right"/>
      <protection locked="0"/>
    </xf>
    <xf numFmtId="166" fontId="4" fillId="7" borderId="61" xfId="0" applyNumberFormat="1" applyFont="1" applyFill="1" applyBorder="1" applyAlignment="1" applyProtection="1">
      <alignment horizontal="right"/>
      <protection hidden="1"/>
    </xf>
    <xf numFmtId="166" fontId="4" fillId="0" borderId="33" xfId="0" applyNumberFormat="1" applyFont="1" applyBorder="1" applyAlignment="1" applyProtection="1">
      <alignment horizontal="right"/>
      <protection hidden="1"/>
    </xf>
    <xf numFmtId="166" fontId="4" fillId="0" borderId="0" xfId="0" applyNumberFormat="1" applyFont="1" applyBorder="1" applyAlignment="1" applyProtection="1">
      <alignment horizontal="right"/>
      <protection hidden="1"/>
    </xf>
    <xf numFmtId="166" fontId="4" fillId="0" borderId="52" xfId="1" applyNumberFormat="1" applyFont="1" applyBorder="1" applyAlignment="1" applyProtection="1">
      <alignment horizontal="right"/>
      <protection hidden="1"/>
    </xf>
    <xf numFmtId="166" fontId="4" fillId="0" borderId="59" xfId="0" applyNumberFormat="1" applyFont="1" applyBorder="1" applyAlignment="1" applyProtection="1">
      <alignment horizontal="right"/>
      <protection hidden="1"/>
    </xf>
    <xf numFmtId="166" fontId="4" fillId="2" borderId="61" xfId="0" applyNumberFormat="1" applyFont="1" applyFill="1" applyBorder="1" applyAlignment="1" applyProtection="1">
      <alignment horizontal="right"/>
      <protection locked="0"/>
    </xf>
    <xf numFmtId="166" fontId="4" fillId="2" borderId="62" xfId="0" applyNumberFormat="1" applyFont="1" applyFill="1" applyBorder="1" applyAlignment="1" applyProtection="1">
      <alignment horizontal="right"/>
      <protection locked="0"/>
    </xf>
    <xf numFmtId="166" fontId="4" fillId="7" borderId="65" xfId="0" applyNumberFormat="1" applyFont="1" applyFill="1" applyBorder="1" applyAlignment="1" applyProtection="1">
      <alignment horizontal="right"/>
      <protection hidden="1"/>
    </xf>
    <xf numFmtId="166" fontId="4" fillId="0" borderId="61" xfId="1" applyNumberFormat="1" applyFont="1" applyBorder="1" applyAlignment="1" applyProtection="1">
      <alignment horizontal="center"/>
      <protection hidden="1"/>
    </xf>
    <xf numFmtId="166" fontId="4" fillId="0" borderId="36" xfId="0" applyNumberFormat="1" applyFont="1" applyBorder="1" applyAlignment="1" applyProtection="1">
      <alignment horizontal="right"/>
      <protection hidden="1"/>
    </xf>
    <xf numFmtId="166" fontId="4" fillId="7" borderId="52" xfId="0" applyNumberFormat="1" applyFont="1" applyFill="1" applyBorder="1" applyProtection="1">
      <protection hidden="1"/>
    </xf>
    <xf numFmtId="166" fontId="4" fillId="7" borderId="61" xfId="0" applyNumberFormat="1" applyFont="1" applyFill="1" applyBorder="1" applyProtection="1">
      <protection hidden="1"/>
    </xf>
    <xf numFmtId="166" fontId="4" fillId="7" borderId="2" xfId="0" applyNumberFormat="1" applyFont="1" applyFill="1" applyBorder="1" applyProtection="1">
      <protection hidden="1"/>
    </xf>
    <xf numFmtId="166" fontId="4" fillId="7" borderId="61" xfId="0" applyNumberFormat="1" applyFont="1" applyFill="1" applyBorder="1" applyAlignment="1" applyProtection="1">
      <protection hidden="1"/>
    </xf>
    <xf numFmtId="166" fontId="4" fillId="0" borderId="0" xfId="0" applyNumberFormat="1" applyFont="1" applyBorder="1" applyProtection="1">
      <protection hidden="1"/>
    </xf>
    <xf numFmtId="166" fontId="4" fillId="0" borderId="36" xfId="0" applyNumberFormat="1" applyFont="1" applyBorder="1" applyProtection="1">
      <protection hidden="1"/>
    </xf>
    <xf numFmtId="166" fontId="4" fillId="0" borderId="33" xfId="0" applyNumberFormat="1" applyFont="1" applyBorder="1" applyProtection="1">
      <protection hidden="1"/>
    </xf>
    <xf numFmtId="166" fontId="4" fillId="0" borderId="61" xfId="0" applyNumberFormat="1" applyFont="1" applyBorder="1" applyAlignment="1" applyProtection="1">
      <alignment horizontal="center"/>
      <protection hidden="1"/>
    </xf>
    <xf numFmtId="166" fontId="4" fillId="9" borderId="53" xfId="0" applyNumberFormat="1" applyFont="1" applyFill="1" applyBorder="1" applyProtection="1">
      <protection hidden="1"/>
    </xf>
    <xf numFmtId="166" fontId="4" fillId="9" borderId="65" xfId="0" applyNumberFormat="1" applyFont="1" applyFill="1" applyBorder="1" applyProtection="1">
      <protection hidden="1"/>
    </xf>
    <xf numFmtId="166" fontId="4" fillId="9" borderId="3" xfId="0" applyNumberFormat="1" applyFont="1" applyFill="1" applyBorder="1" applyProtection="1">
      <protection hidden="1"/>
    </xf>
    <xf numFmtId="166" fontId="4" fillId="7" borderId="65" xfId="0" applyNumberFormat="1" applyFont="1" applyFill="1" applyBorder="1" applyAlignment="1" applyProtection="1">
      <protection hidden="1"/>
    </xf>
    <xf numFmtId="4" fontId="4" fillId="2" borderId="62" xfId="0" applyNumberFormat="1" applyFont="1" applyFill="1" applyBorder="1" applyAlignment="1" applyProtection="1">
      <alignment horizontal="right"/>
      <protection locked="0"/>
    </xf>
    <xf numFmtId="4" fontId="13" fillId="2" borderId="124" xfId="0" applyNumberFormat="1" applyFont="1" applyFill="1" applyBorder="1" applyAlignment="1" applyProtection="1">
      <alignment horizontal="right"/>
      <protection locked="0"/>
    </xf>
    <xf numFmtId="4" fontId="13" fillId="2" borderId="125" xfId="0" applyNumberFormat="1" applyFont="1" applyFill="1" applyBorder="1" applyAlignment="1" applyProtection="1">
      <alignment horizontal="right"/>
      <protection locked="0"/>
    </xf>
    <xf numFmtId="4" fontId="13" fillId="2" borderId="126" xfId="0" applyNumberFormat="1" applyFont="1" applyFill="1" applyBorder="1" applyAlignment="1" applyProtection="1">
      <alignment horizontal="right"/>
      <protection locked="0"/>
    </xf>
    <xf numFmtId="4" fontId="13" fillId="2" borderId="123" xfId="0" applyNumberFormat="1" applyFont="1" applyFill="1" applyBorder="1" applyAlignment="1" applyProtection="1">
      <alignment horizontal="right"/>
      <protection locked="0"/>
    </xf>
    <xf numFmtId="4" fontId="13" fillId="2" borderId="127" xfId="0" applyNumberFormat="1" applyFont="1" applyFill="1" applyBorder="1" applyAlignment="1" applyProtection="1">
      <alignment horizontal="right"/>
      <protection locked="0"/>
    </xf>
    <xf numFmtId="4" fontId="13" fillId="2" borderId="128" xfId="0" applyNumberFormat="1" applyFont="1" applyFill="1" applyBorder="1" applyAlignment="1" applyProtection="1">
      <alignment horizontal="right"/>
      <protection locked="0"/>
    </xf>
    <xf numFmtId="0" fontId="66" fillId="0" borderId="0" xfId="0" applyFont="1" applyAlignment="1">
      <alignment horizontal="left" vertical="top" wrapText="1"/>
    </xf>
    <xf numFmtId="0" fontId="66" fillId="0" borderId="0" xfId="0" applyFont="1" applyAlignment="1">
      <alignment horizontal="left" wrapText="1"/>
    </xf>
    <xf numFmtId="4" fontId="4" fillId="7" borderId="40" xfId="0" applyNumberFormat="1" applyFont="1" applyFill="1" applyBorder="1" applyAlignment="1" applyProtection="1">
      <alignment horizontal="right"/>
      <protection hidden="1"/>
    </xf>
    <xf numFmtId="0" fontId="37" fillId="0" borderId="131" xfId="0" applyFont="1" applyBorder="1" applyProtection="1">
      <protection hidden="1"/>
    </xf>
    <xf numFmtId="17" fontId="28" fillId="5" borderId="24" xfId="0" applyNumberFormat="1" applyFont="1" applyFill="1" applyBorder="1" applyProtection="1">
      <protection locked="0"/>
    </xf>
    <xf numFmtId="0" fontId="66" fillId="0" borderId="0" xfId="0" applyFont="1" applyAlignment="1">
      <alignment horizontal="left" vertical="top" wrapText="1"/>
    </xf>
    <xf numFmtId="0" fontId="66" fillId="0" borderId="0" xfId="0" applyFont="1" applyAlignment="1">
      <alignment horizontal="left" wrapText="1"/>
    </xf>
    <xf numFmtId="0" fontId="13" fillId="2" borderId="115" xfId="0" applyNumberFormat="1" applyFont="1" applyFill="1" applyBorder="1" applyAlignment="1" applyProtection="1">
      <alignment horizontal="center"/>
      <protection locked="0"/>
    </xf>
    <xf numFmtId="0" fontId="13" fillId="2" borderId="52" xfId="0" applyNumberFormat="1" applyFont="1" applyFill="1" applyBorder="1" applyAlignment="1" applyProtection="1">
      <alignment horizontal="center"/>
      <protection locked="0"/>
    </xf>
    <xf numFmtId="0" fontId="13" fillId="2" borderId="56" xfId="0" applyNumberFormat="1" applyFont="1" applyFill="1" applyBorder="1" applyAlignment="1" applyProtection="1">
      <alignment horizontal="center"/>
      <protection locked="0"/>
    </xf>
    <xf numFmtId="0" fontId="0" fillId="2" borderId="88" xfId="0" applyFill="1" applyBorder="1" applyAlignment="1" applyProtection="1">
      <alignment horizontal="center" wrapText="1"/>
      <protection locked="0"/>
    </xf>
    <xf numFmtId="0" fontId="0" fillId="2" borderId="52" xfId="0" applyFill="1" applyBorder="1" applyAlignment="1" applyProtection="1">
      <alignment horizontal="center" wrapText="1"/>
      <protection locked="0"/>
    </xf>
    <xf numFmtId="0" fontId="0" fillId="2" borderId="56" xfId="0" applyFill="1" applyBorder="1" applyAlignment="1" applyProtection="1">
      <alignment horizontal="center" wrapText="1"/>
      <protection locked="0"/>
    </xf>
    <xf numFmtId="0" fontId="0" fillId="2" borderId="102" xfId="0" applyFill="1" applyBorder="1" applyAlignment="1" applyProtection="1">
      <alignment horizontal="center" wrapText="1"/>
      <protection locked="0"/>
    </xf>
    <xf numFmtId="0" fontId="0" fillId="2" borderId="103" xfId="0" applyFill="1" applyBorder="1" applyAlignment="1" applyProtection="1">
      <alignment horizontal="center" wrapText="1"/>
      <protection locked="0"/>
    </xf>
    <xf numFmtId="0" fontId="0" fillId="2" borderId="91" xfId="0" applyFill="1" applyBorder="1" applyAlignment="1" applyProtection="1">
      <alignment horizontal="center" wrapText="1"/>
      <protection locked="0"/>
    </xf>
    <xf numFmtId="0" fontId="43" fillId="6" borderId="96" xfId="0" applyFont="1" applyFill="1" applyBorder="1" applyAlignment="1" applyProtection="1">
      <alignment horizontal="center"/>
      <protection hidden="1"/>
    </xf>
    <xf numFmtId="0" fontId="43" fillId="6" borderId="98" xfId="0" applyFont="1" applyFill="1" applyBorder="1" applyAlignment="1" applyProtection="1">
      <alignment horizontal="center"/>
      <protection hidden="1"/>
    </xf>
    <xf numFmtId="0" fontId="43" fillId="6" borderId="99" xfId="0" applyFont="1" applyFill="1" applyBorder="1" applyAlignment="1" applyProtection="1">
      <alignment horizontal="center"/>
      <protection hidden="1"/>
    </xf>
    <xf numFmtId="1" fontId="13" fillId="2" borderId="52" xfId="0" applyNumberFormat="1" applyFont="1" applyFill="1" applyBorder="1" applyAlignment="1" applyProtection="1">
      <alignment horizontal="left"/>
      <protection locked="0"/>
    </xf>
    <xf numFmtId="1" fontId="13" fillId="2" borderId="56" xfId="0" applyNumberFormat="1" applyFont="1" applyFill="1" applyBorder="1" applyAlignment="1" applyProtection="1">
      <alignment horizontal="left"/>
      <protection locked="0"/>
    </xf>
    <xf numFmtId="4" fontId="13" fillId="0" borderId="97" xfId="1" applyFont="1" applyFill="1" applyBorder="1" applyAlignment="1" applyProtection="1">
      <alignment horizontal="right"/>
      <protection hidden="1"/>
    </xf>
    <xf numFmtId="4" fontId="13" fillId="0" borderId="79" xfId="1" applyFont="1" applyFill="1" applyBorder="1" applyAlignment="1" applyProtection="1">
      <alignment horizontal="right"/>
      <protection hidden="1"/>
    </xf>
    <xf numFmtId="0" fontId="0" fillId="2" borderId="30" xfId="0" applyFill="1" applyBorder="1" applyAlignment="1" applyProtection="1">
      <alignment vertical="center" wrapText="1"/>
      <protection locked="0"/>
    </xf>
    <xf numFmtId="0" fontId="0" fillId="2" borderId="31" xfId="0" applyFill="1" applyBorder="1" applyAlignment="1" applyProtection="1">
      <alignment vertical="center" wrapText="1"/>
      <protection locked="0"/>
    </xf>
    <xf numFmtId="0" fontId="0" fillId="2" borderId="77" xfId="0" applyFill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horizontal="center"/>
      <protection hidden="1"/>
    </xf>
    <xf numFmtId="39" fontId="13" fillId="10" borderId="88" xfId="0" applyNumberFormat="1" applyFont="1" applyFill="1" applyBorder="1" applyAlignment="1" applyProtection="1">
      <alignment horizontal="right"/>
      <protection hidden="1"/>
    </xf>
    <xf numFmtId="39" fontId="13" fillId="10" borderId="56" xfId="0" applyNumberFormat="1" applyFont="1" applyFill="1" applyBorder="1" applyAlignment="1" applyProtection="1">
      <alignment horizontal="right"/>
      <protection hidden="1"/>
    </xf>
    <xf numFmtId="39" fontId="13" fillId="10" borderId="71" xfId="0" applyNumberFormat="1" applyFont="1" applyFill="1" applyBorder="1" applyAlignment="1" applyProtection="1">
      <alignment horizontal="right"/>
      <protection hidden="1"/>
    </xf>
    <xf numFmtId="39" fontId="13" fillId="10" borderId="70" xfId="0" applyNumberFormat="1" applyFont="1" applyFill="1" applyBorder="1" applyAlignment="1" applyProtection="1">
      <alignment horizontal="right"/>
      <protection hidden="1"/>
    </xf>
    <xf numFmtId="39" fontId="13" fillId="10" borderId="90" xfId="0" applyNumberFormat="1" applyFont="1" applyFill="1" applyBorder="1" applyAlignment="1" applyProtection="1">
      <alignment horizontal="right"/>
      <protection hidden="1"/>
    </xf>
    <xf numFmtId="39" fontId="13" fillId="10" borderId="101" xfId="0" applyNumberFormat="1" applyFont="1" applyFill="1" applyBorder="1" applyAlignment="1" applyProtection="1">
      <alignment horizontal="right"/>
      <protection hidden="1"/>
    </xf>
    <xf numFmtId="39" fontId="13" fillId="10" borderId="87" xfId="0" applyNumberFormat="1" applyFont="1" applyFill="1" applyBorder="1" applyAlignment="1" applyProtection="1">
      <alignment horizontal="right"/>
      <protection hidden="1"/>
    </xf>
    <xf numFmtId="39" fontId="13" fillId="10" borderId="23" xfId="0" applyNumberFormat="1" applyFont="1" applyFill="1" applyBorder="1" applyAlignment="1" applyProtection="1">
      <alignment horizontal="right"/>
      <protection hidden="1"/>
    </xf>
    <xf numFmtId="39" fontId="13" fillId="10" borderId="89" xfId="0" applyNumberFormat="1" applyFont="1" applyFill="1" applyBorder="1" applyAlignment="1" applyProtection="1">
      <alignment horizontal="right"/>
      <protection hidden="1"/>
    </xf>
    <xf numFmtId="39" fontId="13" fillId="10" borderId="58" xfId="0" applyNumberFormat="1" applyFont="1" applyFill="1" applyBorder="1" applyAlignment="1" applyProtection="1">
      <alignment horizontal="right"/>
      <protection hidden="1"/>
    </xf>
    <xf numFmtId="0" fontId="0" fillId="0" borderId="70" xfId="0" applyBorder="1" applyAlignment="1">
      <alignment horizontal="right"/>
    </xf>
    <xf numFmtId="0" fontId="0" fillId="0" borderId="87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89" xfId="0" applyBorder="1" applyAlignment="1">
      <alignment horizontal="right"/>
    </xf>
    <xf numFmtId="0" fontId="0" fillId="0" borderId="58" xfId="0" applyBorder="1" applyAlignment="1">
      <alignment horizontal="right"/>
    </xf>
    <xf numFmtId="2" fontId="9" fillId="0" borderId="86" xfId="0" applyNumberFormat="1" applyFont="1" applyBorder="1" applyAlignment="1" applyProtection="1">
      <alignment horizontal="right" wrapText="1"/>
      <protection hidden="1"/>
    </xf>
    <xf numFmtId="0" fontId="9" fillId="0" borderId="84" xfId="0" applyFont="1" applyBorder="1" applyAlignment="1" applyProtection="1">
      <alignment horizontal="right" wrapText="1"/>
      <protection hidden="1"/>
    </xf>
    <xf numFmtId="0" fontId="9" fillId="0" borderId="90" xfId="0" applyFont="1" applyBorder="1" applyAlignment="1" applyProtection="1">
      <alignment vertical="center"/>
      <protection hidden="1"/>
    </xf>
    <xf numFmtId="0" fontId="9" fillId="0" borderId="101" xfId="0" applyFont="1" applyBorder="1" applyAlignment="1" applyProtection="1">
      <alignment vertical="center"/>
      <protection hidden="1"/>
    </xf>
    <xf numFmtId="167" fontId="12" fillId="7" borderId="11" xfId="0" applyNumberFormat="1" applyFont="1" applyFill="1" applyBorder="1" applyAlignment="1" applyProtection="1">
      <alignment horizontal="center" vertical="center"/>
      <protection hidden="1"/>
    </xf>
    <xf numFmtId="167" fontId="12" fillId="7" borderId="39" xfId="0" applyNumberFormat="1" applyFont="1" applyFill="1" applyBorder="1" applyAlignment="1" applyProtection="1">
      <alignment horizontal="center" vertical="center"/>
      <protection hidden="1"/>
    </xf>
    <xf numFmtId="167" fontId="12" fillId="7" borderId="118" xfId="0" applyNumberFormat="1" applyFont="1" applyFill="1" applyBorder="1" applyAlignment="1" applyProtection="1">
      <alignment horizontal="center" vertical="center"/>
      <protection hidden="1"/>
    </xf>
    <xf numFmtId="167" fontId="12" fillId="7" borderId="119" xfId="0" applyNumberFormat="1" applyFont="1" applyFill="1" applyBorder="1" applyAlignment="1" applyProtection="1">
      <alignment horizontal="center" vertical="center"/>
      <protection hidden="1"/>
    </xf>
    <xf numFmtId="167" fontId="12" fillId="7" borderId="11" xfId="0" applyNumberFormat="1" applyFont="1" applyFill="1" applyBorder="1" applyAlignment="1" applyProtection="1">
      <alignment horizontal="right" vertical="center"/>
      <protection hidden="1"/>
    </xf>
    <xf numFmtId="167" fontId="12" fillId="7" borderId="39" xfId="0" applyNumberFormat="1" applyFont="1" applyFill="1" applyBorder="1" applyAlignment="1" applyProtection="1">
      <alignment horizontal="right" vertical="center"/>
      <protection hidden="1"/>
    </xf>
    <xf numFmtId="0" fontId="73" fillId="2" borderId="111" xfId="0" applyFont="1" applyFill="1" applyBorder="1" applyAlignment="1" applyProtection="1">
      <alignment vertical="center" wrapText="1"/>
      <protection locked="0" hidden="1"/>
    </xf>
    <xf numFmtId="0" fontId="73" fillId="0" borderId="75" xfId="0" applyFont="1" applyBorder="1" applyAlignment="1" applyProtection="1">
      <alignment vertical="center" wrapText="1"/>
      <protection locked="0" hidden="1"/>
    </xf>
    <xf numFmtId="0" fontId="73" fillId="0" borderId="112" xfId="0" applyFont="1" applyBorder="1" applyAlignment="1" applyProtection="1">
      <alignment vertical="center" wrapText="1"/>
      <protection locked="0" hidden="1"/>
    </xf>
    <xf numFmtId="0" fontId="73" fillId="0" borderId="15" xfId="0" applyFont="1" applyBorder="1" applyAlignment="1" applyProtection="1">
      <alignment vertical="center" wrapText="1"/>
      <protection locked="0" hidden="1"/>
    </xf>
    <xf numFmtId="39" fontId="13" fillId="10" borderId="100" xfId="0" applyNumberFormat="1" applyFont="1" applyFill="1" applyBorder="1" applyAlignment="1" applyProtection="1">
      <alignment horizontal="right"/>
      <protection hidden="1"/>
    </xf>
    <xf numFmtId="39" fontId="13" fillId="10" borderId="68" xfId="0" applyNumberFormat="1" applyFont="1" applyFill="1" applyBorder="1" applyAlignment="1" applyProtection="1">
      <alignment horizontal="right"/>
      <protection hidden="1"/>
    </xf>
    <xf numFmtId="0" fontId="12" fillId="0" borderId="107" xfId="0" applyFont="1" applyBorder="1" applyAlignment="1" applyProtection="1">
      <alignment horizontal="center"/>
      <protection hidden="1"/>
    </xf>
    <xf numFmtId="0" fontId="12" fillId="0" borderId="22" xfId="0" applyFont="1" applyBorder="1" applyAlignment="1" applyProtection="1">
      <alignment horizontal="center"/>
      <protection hidden="1"/>
    </xf>
    <xf numFmtId="0" fontId="78" fillId="0" borderId="74" xfId="0" applyFont="true" applyBorder="1" applyAlignment="1" applyProtection="1">
      <alignment horizontal="center" vertical="center"/>
      <protection hidden="1"/>
    </xf>
    <xf numFmtId="0" fontId="12" fillId="0" borderId="26" xfId="0" applyFont="1" applyBorder="1" applyAlignment="1" applyProtection="1">
      <alignment horizontal="center"/>
      <protection hidden="1"/>
    </xf>
    <xf numFmtId="0" fontId="12" fillId="0" borderId="75" xfId="0" applyFont="1" applyBorder="1" applyAlignment="1" applyProtection="1">
      <alignment horizontal="center"/>
      <protection hidden="1"/>
    </xf>
    <xf numFmtId="0" fontId="12" fillId="0" borderId="16" xfId="0" applyFont="1" applyBorder="1" applyAlignment="1" applyProtection="1">
      <alignment horizontal="center"/>
      <protection hidden="1"/>
    </xf>
    <xf numFmtId="0" fontId="12" fillId="0" borderId="27" xfId="0" applyFont="1" applyBorder="1" applyAlignment="1" applyProtection="1">
      <alignment horizontal="center"/>
      <protection hidden="1"/>
    </xf>
    <xf numFmtId="0" fontId="12" fillId="0" borderId="4" xfId="0" applyFont="1" applyBorder="1" applyAlignment="1" applyProtection="1">
      <alignment horizontal="center"/>
      <protection hidden="1"/>
    </xf>
    <xf numFmtId="0" fontId="12" fillId="0" borderId="5" xfId="0" applyFont="1" applyBorder="1" applyAlignment="1" applyProtection="1">
      <alignment horizontal="center"/>
      <protection hidden="1"/>
    </xf>
    <xf numFmtId="0" fontId="12" fillId="0" borderId="15" xfId="0" applyFont="1" applyBorder="1" applyAlignment="1" applyProtection="1">
      <alignment horizontal="center"/>
      <protection hidden="1"/>
    </xf>
    <xf numFmtId="0" fontId="12" fillId="0" borderId="121" xfId="0" applyFont="1" applyBorder="1" applyAlignment="1" applyProtection="1">
      <alignment horizontal="center"/>
      <protection hidden="1"/>
    </xf>
    <xf numFmtId="0" fontId="12" fillId="0" borderId="24" xfId="0" applyFont="1" applyBorder="1" applyAlignment="1" applyProtection="1">
      <alignment horizontal="center"/>
      <protection hidden="1"/>
    </xf>
    <xf numFmtId="167" fontId="12" fillId="0" borderId="30" xfId="0" applyNumberFormat="1" applyFont="1" applyBorder="1" applyAlignment="1" applyProtection="1">
      <alignment horizontal="right" vertical="center"/>
      <protection hidden="1"/>
    </xf>
    <xf numFmtId="167" fontId="12" fillId="0" borderId="129" xfId="0" applyNumberFormat="1" applyFont="1" applyBorder="1" applyAlignment="1" applyProtection="1">
      <alignment horizontal="right" vertical="center"/>
      <protection hidden="1"/>
    </xf>
    <xf numFmtId="0" fontId="77" fillId="0" borderId="0" xfId="3" applyFont="1" applyAlignment="1" applyProtection="1">
      <alignment horizontal="left"/>
    </xf>
    <xf numFmtId="0" fontId="44" fillId="2" borderId="29" xfId="0" applyFont="1" applyFill="1" applyBorder="1" applyAlignment="1" applyProtection="1">
      <alignment horizontal="left"/>
      <protection locked="0"/>
    </xf>
    <xf numFmtId="0" fontId="12" fillId="0" borderId="29" xfId="0" applyFont="1" applyBorder="1" applyAlignment="1" applyProtection="1">
      <protection locked="0"/>
    </xf>
    <xf numFmtId="39" fontId="27" fillId="4" borderId="34" xfId="0" applyNumberFormat="1" applyFont="1" applyFill="1" applyBorder="1" applyAlignment="1" applyProtection="1">
      <alignment horizontal="center" vertical="center" textRotation="180"/>
      <protection hidden="1"/>
    </xf>
    <xf numFmtId="39" fontId="27" fillId="4" borderId="36" xfId="0" applyNumberFormat="1" applyFont="1" applyFill="1" applyBorder="1" applyAlignment="1" applyProtection="1">
      <alignment horizontal="center" vertical="center" textRotation="180"/>
      <protection hidden="1"/>
    </xf>
    <xf numFmtId="39" fontId="27" fillId="4" borderId="38" xfId="0" applyNumberFormat="1" applyFont="1" applyFill="1" applyBorder="1" applyAlignment="1" applyProtection="1">
      <alignment horizontal="center" vertical="center" textRotation="180"/>
      <protection hidden="1"/>
    </xf>
    <xf numFmtId="40" fontId="12" fillId="0" borderId="108" xfId="0" applyNumberFormat="1" applyFont="1" applyBorder="1" applyAlignment="1" applyProtection="1">
      <alignment horizontal="center"/>
      <protection hidden="1"/>
    </xf>
    <xf numFmtId="40" fontId="12" fillId="0" borderId="109" xfId="0" applyNumberFormat="1" applyFont="1" applyBorder="1" applyAlignment="1" applyProtection="1">
      <alignment horizontal="center"/>
      <protection hidden="1"/>
    </xf>
    <xf numFmtId="0" fontId="27" fillId="6" borderId="50" xfId="0" applyFont="1" applyFill="1" applyBorder="1" applyAlignment="1" applyProtection="1">
      <alignment horizontal="center" vertical="center"/>
      <protection hidden="1"/>
    </xf>
    <xf numFmtId="0" fontId="27" fillId="6" borderId="51" xfId="0" applyFont="1" applyFill="1" applyBorder="1" applyAlignment="1" applyProtection="1">
      <alignment horizontal="center" vertical="center"/>
      <protection hidden="1"/>
    </xf>
    <xf numFmtId="0" fontId="27" fillId="6" borderId="105" xfId="0" applyFont="1" applyFill="1" applyBorder="1" applyAlignment="1" applyProtection="1">
      <alignment horizontal="center" vertical="center"/>
      <protection hidden="1"/>
    </xf>
    <xf numFmtId="0" fontId="27" fillId="6" borderId="82" xfId="0" applyFont="1" applyFill="1" applyBorder="1" applyAlignment="1" applyProtection="1">
      <alignment horizontal="center" vertical="center"/>
      <protection hidden="1"/>
    </xf>
    <xf numFmtId="0" fontId="76" fillId="0" borderId="107" xfId="0" applyFont="1" applyBorder="1" applyAlignment="1" applyProtection="1">
      <alignment horizontal="center"/>
      <protection hidden="1"/>
    </xf>
    <xf numFmtId="0" fontId="76" fillId="0" borderId="130" xfId="0" applyFont="1" applyBorder="1" applyAlignment="1" applyProtection="1">
      <alignment horizontal="center"/>
      <protection hidden="1"/>
    </xf>
    <xf numFmtId="167" fontId="12" fillId="7" borderId="30" xfId="0" applyNumberFormat="1" applyFont="1" applyFill="1" applyBorder="1" applyAlignment="1" applyProtection="1">
      <alignment horizontal="right" vertical="center"/>
      <protection hidden="1"/>
    </xf>
    <xf numFmtId="167" fontId="12" fillId="7" borderId="129" xfId="0" applyNumberFormat="1" applyFont="1" applyFill="1" applyBorder="1" applyAlignment="1" applyProtection="1">
      <alignment horizontal="right" vertical="center"/>
      <protection hidden="1"/>
    </xf>
    <xf numFmtId="167" fontId="71" fillId="2" borderId="85" xfId="0" applyNumberFormat="1" applyFont="1" applyFill="1" applyBorder="1" applyAlignment="1" applyProtection="1">
      <alignment horizontal="center" vertical="center" wrapText="1"/>
      <protection locked="0" hidden="1"/>
    </xf>
    <xf numFmtId="167" fontId="71" fillId="2" borderId="120" xfId="0" applyNumberFormat="1" applyFont="1" applyFill="1" applyBorder="1" applyAlignment="1" applyProtection="1">
      <alignment horizontal="center" vertical="center" wrapText="1"/>
      <protection locked="0" hidden="1"/>
    </xf>
    <xf numFmtId="167" fontId="71" fillId="2" borderId="87" xfId="0" applyNumberFormat="1" applyFont="1" applyFill="1" applyBorder="1" applyAlignment="1" applyProtection="1">
      <alignment horizontal="center" vertical="center" wrapText="1"/>
      <protection locked="0" hidden="1"/>
    </xf>
    <xf numFmtId="167" fontId="71" fillId="2" borderId="27" xfId="0" applyNumberFormat="1" applyFont="1" applyFill="1" applyBorder="1" applyAlignment="1" applyProtection="1">
      <alignment horizontal="center" vertical="center" wrapText="1"/>
      <protection locked="0" hidden="1"/>
    </xf>
    <xf numFmtId="167" fontId="71" fillId="2" borderId="104" xfId="0" applyNumberFormat="1" applyFont="1" applyFill="1" applyBorder="1" applyAlignment="1" applyProtection="1">
      <alignment horizontal="center" vertical="center" wrapText="1"/>
      <protection locked="0" hidden="1"/>
    </xf>
    <xf numFmtId="167" fontId="71" fillId="2" borderId="117" xfId="0" applyNumberFormat="1" applyFont="1" applyFill="1" applyBorder="1" applyAlignment="1" applyProtection="1">
      <alignment horizontal="center" vertical="center" wrapText="1"/>
      <protection locked="0" hidden="1"/>
    </xf>
    <xf numFmtId="167" fontId="12" fillId="2" borderId="85" xfId="0" applyNumberFormat="1" applyFont="1" applyFill="1" applyBorder="1" applyAlignment="1" applyProtection="1">
      <alignment horizontal="center"/>
      <protection locked="0"/>
    </xf>
    <xf numFmtId="167" fontId="12" fillId="2" borderId="120" xfId="0" applyNumberFormat="1" applyFont="1" applyFill="1" applyBorder="1" applyAlignment="1" applyProtection="1">
      <alignment horizontal="center"/>
      <protection locked="0"/>
    </xf>
    <xf numFmtId="167" fontId="12" fillId="2" borderId="104" xfId="0" applyNumberFormat="1" applyFont="1" applyFill="1" applyBorder="1" applyAlignment="1" applyProtection="1">
      <alignment horizontal="center"/>
      <protection locked="0"/>
    </xf>
    <xf numFmtId="167" fontId="12" fillId="2" borderId="117" xfId="0" applyNumberFormat="1" applyFont="1" applyFill="1" applyBorder="1" applyAlignment="1" applyProtection="1">
      <alignment horizontal="center"/>
      <protection locked="0"/>
    </xf>
    <xf numFmtId="0" fontId="12" fillId="0" borderId="17" xfId="0" applyFont="1" applyBorder="1" applyAlignment="1" applyProtection="1">
      <alignment horizontal="center"/>
      <protection hidden="1"/>
    </xf>
    <xf numFmtId="0" fontId="12" fillId="0" borderId="18" xfId="0" applyFont="1" applyBorder="1" applyAlignment="1" applyProtection="1">
      <alignment horizontal="center"/>
      <protection hidden="1"/>
    </xf>
    <xf numFmtId="0" fontId="12" fillId="3" borderId="34" xfId="0" applyFont="1" applyFill="1" applyBorder="1" applyAlignment="1" applyProtection="1">
      <alignment horizontal="center" vertical="center"/>
      <protection hidden="1"/>
    </xf>
    <xf numFmtId="0" fontId="12" fillId="3" borderId="36" xfId="0" applyFont="1" applyFill="1" applyBorder="1" applyAlignment="1" applyProtection="1">
      <alignment horizontal="center" vertical="center"/>
      <protection hidden="1"/>
    </xf>
    <xf numFmtId="0" fontId="12" fillId="3" borderId="109" xfId="0" applyFont="1" applyFill="1" applyBorder="1" applyAlignment="1" applyProtection="1">
      <alignment horizontal="center" vertical="center"/>
      <protection hidden="1"/>
    </xf>
    <xf numFmtId="0" fontId="69" fillId="0" borderId="85" xfId="0" applyFont="1" applyBorder="1" applyAlignment="1" applyProtection="1">
      <alignment horizontal="right" vertical="center"/>
      <protection hidden="1"/>
    </xf>
    <xf numFmtId="0" fontId="69" fillId="0" borderId="35" xfId="0" applyFont="1" applyBorder="1" applyAlignment="1" applyProtection="1">
      <alignment horizontal="right" vertical="center"/>
      <protection hidden="1"/>
    </xf>
    <xf numFmtId="0" fontId="69" fillId="0" borderId="87" xfId="0" applyFont="1" applyBorder="1" applyAlignment="1" applyProtection="1">
      <alignment horizontal="right" vertical="center"/>
      <protection hidden="1"/>
    </xf>
    <xf numFmtId="0" fontId="69" fillId="0" borderId="0" xfId="0" applyFont="1" applyBorder="1" applyAlignment="1" applyProtection="1">
      <alignment horizontal="right" vertical="center"/>
      <protection hidden="1"/>
    </xf>
    <xf numFmtId="0" fontId="69" fillId="0" borderId="104" xfId="0" applyFont="1" applyBorder="1" applyAlignment="1" applyProtection="1">
      <alignment horizontal="right" vertical="center"/>
      <protection hidden="1"/>
    </xf>
    <xf numFmtId="0" fontId="69" fillId="0" borderId="37" xfId="0" applyFont="1" applyBorder="1" applyAlignment="1" applyProtection="1">
      <alignment horizontal="right" vertical="center"/>
      <protection hidden="1"/>
    </xf>
    <xf numFmtId="39" fontId="74" fillId="0" borderId="86" xfId="0" applyNumberFormat="1" applyFont="1" applyBorder="1" applyAlignment="1" applyProtection="1">
      <alignment horizontal="right" vertical="center"/>
      <protection hidden="1"/>
    </xf>
    <xf numFmtId="39" fontId="74" fillId="0" borderId="23" xfId="0" applyNumberFormat="1" applyFont="1" applyBorder="1" applyAlignment="1" applyProtection="1">
      <alignment horizontal="right" vertical="center"/>
      <protection hidden="1"/>
    </xf>
    <xf numFmtId="39" fontId="74" fillId="0" borderId="84" xfId="0" applyNumberFormat="1" applyFont="1" applyBorder="1" applyAlignment="1" applyProtection="1">
      <alignment horizontal="right" vertical="center"/>
      <protection hidden="1"/>
    </xf>
    <xf numFmtId="0" fontId="13" fillId="2" borderId="116" xfId="0" applyNumberFormat="1" applyFont="1" applyFill="1" applyBorder="1" applyAlignment="1" applyProtection="1">
      <alignment horizontal="center"/>
      <protection locked="0"/>
    </xf>
    <xf numFmtId="0" fontId="13" fillId="2" borderId="103" xfId="0" applyNumberFormat="1" applyFont="1" applyFill="1" applyBorder="1" applyAlignment="1" applyProtection="1">
      <alignment horizontal="center"/>
      <protection locked="0"/>
    </xf>
    <xf numFmtId="0" fontId="13" fillId="2" borderId="91" xfId="0" applyNumberFormat="1" applyFont="1" applyFill="1" applyBorder="1" applyAlignment="1" applyProtection="1">
      <alignment horizontal="center"/>
      <protection locked="0"/>
    </xf>
    <xf numFmtId="0" fontId="43" fillId="6" borderId="106" xfId="0" applyFont="1" applyFill="1" applyBorder="1" applyAlignment="1" applyProtection="1">
      <alignment horizontal="center" vertical="center"/>
      <protection hidden="1"/>
    </xf>
    <xf numFmtId="0" fontId="43" fillId="6" borderId="98" xfId="0" applyFont="1" applyFill="1" applyBorder="1" applyAlignment="1" applyProtection="1">
      <alignment horizontal="center" vertical="center"/>
      <protection hidden="1"/>
    </xf>
    <xf numFmtId="0" fontId="43" fillId="6" borderId="78" xfId="0" applyFont="1" applyFill="1" applyBorder="1" applyAlignment="1" applyProtection="1">
      <alignment horizontal="center" vertical="center"/>
      <protection hidden="1"/>
    </xf>
    <xf numFmtId="0" fontId="13" fillId="11" borderId="30" xfId="0" applyFont="1" applyFill="1" applyBorder="1" applyAlignment="1" applyProtection="1">
      <alignment horizontal="center" vertical="center"/>
      <protection hidden="1"/>
    </xf>
    <xf numFmtId="0" fontId="13" fillId="11" borderId="31" xfId="0" applyFont="1" applyFill="1" applyBorder="1" applyAlignment="1" applyProtection="1">
      <alignment horizontal="center" vertical="center"/>
      <protection hidden="1"/>
    </xf>
    <xf numFmtId="0" fontId="13" fillId="11" borderId="77" xfId="0" applyFont="1" applyFill="1" applyBorder="1" applyAlignment="1" applyProtection="1">
      <alignment horizontal="center" vertical="center"/>
      <protection hidden="1"/>
    </xf>
    <xf numFmtId="0" fontId="0" fillId="2" borderId="100" xfId="0" applyFill="1" applyBorder="1" applyAlignment="1" applyProtection="1">
      <alignment horizontal="center" wrapText="1"/>
      <protection locked="0"/>
    </xf>
    <xf numFmtId="0" fontId="0" fillId="2" borderId="67" xfId="0" applyFill="1" applyBorder="1" applyAlignment="1" applyProtection="1">
      <alignment horizontal="center" wrapText="1"/>
      <protection locked="0"/>
    </xf>
    <xf numFmtId="0" fontId="0" fillId="2" borderId="68" xfId="0" applyFill="1" applyBorder="1" applyAlignment="1" applyProtection="1">
      <alignment horizontal="center" wrapText="1"/>
      <protection locked="0"/>
    </xf>
    <xf numFmtId="167" fontId="13" fillId="0" borderId="113" xfId="0" applyNumberFormat="1" applyFont="1" applyBorder="1" applyAlignment="1" applyProtection="1">
      <alignment horizontal="right"/>
      <protection hidden="1"/>
    </xf>
    <xf numFmtId="167" fontId="13" fillId="0" borderId="49" xfId="0" applyNumberFormat="1" applyFont="1" applyBorder="1" applyAlignment="1" applyProtection="1">
      <alignment horizontal="right"/>
      <protection hidden="1"/>
    </xf>
    <xf numFmtId="0" fontId="43" fillId="11" borderId="96" xfId="0" applyFont="1" applyFill="1" applyBorder="1" applyAlignment="1" applyProtection="1">
      <alignment horizontal="center"/>
      <protection hidden="1"/>
    </xf>
    <xf numFmtId="0" fontId="43" fillId="11" borderId="98" xfId="0" applyFont="1" applyFill="1" applyBorder="1" applyAlignment="1" applyProtection="1">
      <alignment horizontal="center"/>
      <protection hidden="1"/>
    </xf>
    <xf numFmtId="0" fontId="43" fillId="11" borderId="99" xfId="0" applyFont="1" applyFill="1" applyBorder="1" applyAlignment="1" applyProtection="1">
      <alignment horizontal="center"/>
      <protection hidden="1"/>
    </xf>
    <xf numFmtId="0" fontId="13" fillId="2" borderId="100" xfId="0" applyFont="1" applyFill="1" applyBorder="1" applyAlignment="1" applyProtection="1">
      <alignment horizontal="center"/>
      <protection locked="0"/>
    </xf>
    <xf numFmtId="0" fontId="13" fillId="2" borderId="67" xfId="0" applyFont="1" applyFill="1" applyBorder="1" applyAlignment="1" applyProtection="1">
      <alignment horizontal="center"/>
      <protection locked="0"/>
    </xf>
    <xf numFmtId="0" fontId="13" fillId="2" borderId="68" xfId="0" applyFont="1" applyFill="1" applyBorder="1" applyAlignment="1" applyProtection="1">
      <alignment horizontal="center"/>
      <protection locked="0"/>
    </xf>
    <xf numFmtId="0" fontId="13" fillId="2" borderId="88" xfId="0" applyFont="1" applyFill="1" applyBorder="1" applyAlignment="1" applyProtection="1">
      <alignment horizontal="center"/>
      <protection locked="0"/>
    </xf>
    <xf numFmtId="0" fontId="13" fillId="2" borderId="52" xfId="0" applyFont="1" applyFill="1" applyBorder="1" applyAlignment="1" applyProtection="1">
      <alignment horizontal="center"/>
      <protection locked="0"/>
    </xf>
    <xf numFmtId="0" fontId="13" fillId="2" borderId="56" xfId="0" applyFont="1" applyFill="1" applyBorder="1" applyAlignment="1" applyProtection="1">
      <alignment horizontal="center"/>
      <protection locked="0"/>
    </xf>
    <xf numFmtId="0" fontId="13" fillId="2" borderId="114" xfId="0" applyNumberFormat="1" applyFont="1" applyFill="1" applyBorder="1" applyAlignment="1" applyProtection="1">
      <alignment horizontal="center"/>
      <protection locked="0"/>
    </xf>
    <xf numFmtId="0" fontId="13" fillId="2" borderId="67" xfId="0" applyNumberFormat="1" applyFont="1" applyFill="1" applyBorder="1" applyAlignment="1" applyProtection="1">
      <alignment horizontal="center"/>
      <protection locked="0"/>
    </xf>
    <xf numFmtId="0" fontId="13" fillId="2" borderId="68" xfId="0" applyNumberFormat="1" applyFont="1" applyFill="1" applyBorder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center"/>
      <protection hidden="1"/>
    </xf>
    <xf numFmtId="40" fontId="51" fillId="0" borderId="0" xfId="0" applyNumberFormat="1" applyFont="1" applyBorder="1" applyAlignment="1" applyProtection="1">
      <alignment horizontal="center"/>
      <protection hidden="1"/>
    </xf>
    <xf numFmtId="1" fontId="13" fillId="2" borderId="67" xfId="0" applyNumberFormat="1" applyFont="1" applyFill="1" applyBorder="1" applyAlignment="1" applyProtection="1">
      <alignment horizontal="left"/>
      <protection locked="0"/>
    </xf>
    <xf numFmtId="1" fontId="13" fillId="2" borderId="68" xfId="0" applyNumberFormat="1" applyFont="1" applyFill="1" applyBorder="1" applyAlignment="1" applyProtection="1">
      <alignment horizontal="left"/>
      <protection locked="0"/>
    </xf>
    <xf numFmtId="0" fontId="13" fillId="2" borderId="88" xfId="0" applyFont="1" applyFill="1" applyBorder="1" applyAlignment="1" applyProtection="1">
      <alignment horizontal="left"/>
      <protection locked="0"/>
    </xf>
    <xf numFmtId="0" fontId="13" fillId="2" borderId="52" xfId="0" applyFont="1" applyFill="1" applyBorder="1" applyAlignment="1" applyProtection="1">
      <alignment horizontal="left"/>
      <protection locked="0"/>
    </xf>
    <xf numFmtId="0" fontId="13" fillId="2" borderId="56" xfId="0" applyFont="1" applyFill="1" applyBorder="1" applyAlignment="1" applyProtection="1">
      <alignment horizontal="left"/>
      <protection locked="0"/>
    </xf>
    <xf numFmtId="164" fontId="13" fillId="0" borderId="97" xfId="0" applyNumberFormat="1" applyFont="1" applyFill="1" applyBorder="1" applyAlignment="1" applyProtection="1">
      <alignment horizontal="right"/>
      <protection hidden="1"/>
    </xf>
    <xf numFmtId="164" fontId="13" fillId="0" borderId="79" xfId="0" applyNumberFormat="1" applyFont="1" applyFill="1" applyBorder="1" applyAlignment="1" applyProtection="1">
      <alignment horizontal="right"/>
      <protection hidden="1"/>
    </xf>
    <xf numFmtId="0" fontId="43" fillId="6" borderId="106" xfId="0" applyFont="1" applyFill="1" applyBorder="1" applyAlignment="1" applyProtection="1">
      <alignment horizontal="center"/>
      <protection hidden="1"/>
    </xf>
    <xf numFmtId="0" fontId="43" fillId="6" borderId="78" xfId="0" applyFont="1" applyFill="1" applyBorder="1" applyAlignment="1" applyProtection="1">
      <alignment horizontal="center"/>
      <protection hidden="1"/>
    </xf>
    <xf numFmtId="0" fontId="13" fillId="2" borderId="100" xfId="0" applyFont="1" applyFill="1" applyBorder="1" applyAlignment="1" applyProtection="1">
      <alignment horizontal="left"/>
      <protection locked="0"/>
    </xf>
    <xf numFmtId="0" fontId="13" fillId="2" borderId="67" xfId="0" applyFont="1" applyFill="1" applyBorder="1" applyAlignment="1" applyProtection="1">
      <alignment horizontal="left"/>
      <protection locked="0"/>
    </xf>
    <xf numFmtId="0" fontId="13" fillId="2" borderId="68" xfId="0" applyFont="1" applyFill="1" applyBorder="1" applyAlignment="1" applyProtection="1">
      <alignment horizontal="left"/>
      <protection locked="0"/>
    </xf>
    <xf numFmtId="1" fontId="13" fillId="2" borderId="103" xfId="0" applyNumberFormat="1" applyFont="1" applyFill="1" applyBorder="1" applyAlignment="1" applyProtection="1">
      <alignment horizontal="left"/>
      <protection locked="0"/>
    </xf>
    <xf numFmtId="1" fontId="13" fillId="2" borderId="91" xfId="0" applyNumberFormat="1" applyFont="1" applyFill="1" applyBorder="1" applyAlignment="1" applyProtection="1">
      <alignment horizontal="left"/>
      <protection locked="0"/>
    </xf>
    <xf numFmtId="0" fontId="13" fillId="2" borderId="102" xfId="0" applyFont="1" applyFill="1" applyBorder="1" applyAlignment="1" applyProtection="1">
      <alignment horizontal="left"/>
      <protection locked="0"/>
    </xf>
    <xf numFmtId="0" fontId="13" fillId="2" borderId="103" xfId="0" applyFont="1" applyFill="1" applyBorder="1" applyAlignment="1" applyProtection="1">
      <alignment horizontal="left"/>
      <protection locked="0"/>
    </xf>
    <xf numFmtId="0" fontId="13" fillId="2" borderId="91" xfId="0" applyFont="1" applyFill="1" applyBorder="1" applyAlignment="1" applyProtection="1">
      <alignment horizontal="left"/>
      <protection locked="0"/>
    </xf>
    <xf numFmtId="164" fontId="13" fillId="0" borderId="80" xfId="0" applyNumberFormat="1" applyFont="1" applyFill="1" applyBorder="1" applyAlignment="1" applyProtection="1">
      <alignment horizontal="right"/>
      <protection hidden="1"/>
    </xf>
    <xf numFmtId="164" fontId="13" fillId="2" borderId="100" xfId="0" applyNumberFormat="1" applyFont="1" applyFill="1" applyBorder="1" applyAlignment="1" applyProtection="1">
      <alignment horizontal="center"/>
      <protection locked="0"/>
    </xf>
    <xf numFmtId="164" fontId="13" fillId="2" borderId="67" xfId="0" applyNumberFormat="1" applyFont="1" applyFill="1" applyBorder="1" applyAlignment="1" applyProtection="1">
      <alignment horizontal="center"/>
      <protection locked="0"/>
    </xf>
    <xf numFmtId="164" fontId="13" fillId="2" borderId="88" xfId="0" applyNumberFormat="1" applyFont="1" applyFill="1" applyBorder="1" applyAlignment="1" applyProtection="1">
      <alignment horizontal="center"/>
      <protection locked="0"/>
    </xf>
    <xf numFmtId="164" fontId="13" fillId="2" borderId="52" xfId="0" applyNumberFormat="1" applyFont="1" applyFill="1" applyBorder="1" applyAlignment="1" applyProtection="1">
      <alignment horizontal="center"/>
      <protection locked="0"/>
    </xf>
    <xf numFmtId="164" fontId="13" fillId="2" borderId="102" xfId="0" applyNumberFormat="1" applyFont="1" applyFill="1" applyBorder="1" applyAlignment="1" applyProtection="1">
      <alignment horizontal="center"/>
      <protection locked="0"/>
    </xf>
    <xf numFmtId="164" fontId="13" fillId="2" borderId="103" xfId="0" applyNumberFormat="1" applyFont="1" applyFill="1" applyBorder="1" applyAlignment="1" applyProtection="1">
      <alignment horizontal="center"/>
      <protection locked="0"/>
    </xf>
    <xf numFmtId="1" fontId="13" fillId="2" borderId="35" xfId="0" applyNumberFormat="1" applyFont="1" applyFill="1" applyBorder="1" applyAlignment="1" applyProtection="1">
      <alignment horizontal="left"/>
      <protection locked="0"/>
    </xf>
    <xf numFmtId="1" fontId="13" fillId="2" borderId="86" xfId="0" applyNumberFormat="1" applyFont="1" applyFill="1" applyBorder="1" applyAlignment="1" applyProtection="1">
      <alignment horizontal="left"/>
      <protection locked="0"/>
    </xf>
  </cellXfs>
  <cellStyles count="4">
    <cellStyle name="Comma" xfId="1" builtinId="3"/>
    <cellStyle name="Currency" xfId="2" builtinId="4"/>
    <cellStyle name="Hyperlink" xfId="3" builtinId="8"/>
    <cellStyle name="Normal" xfId="0" builtinId="0"/>
  </cellStyles>
  <dxfs count="10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
<Relationships xmlns="http://schemas.openxmlformats.org/package/2006/relationships">
<Relationship Id="rId1" Target="worksheets/sheet1.xml" Type="http://schemas.openxmlformats.org/officeDocument/2006/relationships/worksheet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theme/theme1.xml" Type="http://schemas.openxmlformats.org/officeDocument/2006/relationships/theme"/>
<Relationship Id="rId5" Target="styles.xml" Type="http://schemas.openxmlformats.org/officeDocument/2006/relationships/styles"/>
<Relationship Id="rId6" Target="sharedStrings.xml" Type="http://schemas.openxmlformats.org/officeDocument/2006/relationships/sharedStrings"/>
<Relationship Id="rId7" Target="calcChain.xml" Type="http://schemas.openxmlformats.org/officeDocument/2006/relationships/calcChain"/>
<Relationship Id="rId8" Target="vbaProject.bin" Type="http://schemas.microsoft.com/office/2006/relationships/vbaProject"/>
</Relationships>

</file>

<file path=xl/activeX/_rels/activeX1.xml.rels><?xml version="1.0" encoding="UTF-8" standalone="no"?>
<Relationships xmlns="http://schemas.openxmlformats.org/package/2006/relationships">
<Relationship Id="rId1" Target="activeX1.bin" Type="http://schemas.microsoft.com/office/2006/relationships/activeXControlBinary"/>
</Relationships>
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no"?>
<Relationships xmlns="http://schemas.openxmlformats.org/package/2006/relationships">
<Relationship Id="rId1" Target="../media/image3.png" Type="http://schemas.openxmlformats.org/officeDocument/2006/relationships/image"/>
</Relationships>

</file>

<file path=xl/drawings/_rels/drawing2.xml.rels><?xml version="1.0" encoding="UTF-8" standalone="no"?>
<Relationships xmlns="http://schemas.openxmlformats.org/package/2006/relationships">
<Relationship Id="rId1" Target="../media/image2.png" Type="http://schemas.openxmlformats.org/officeDocument/2006/relationships/image"/>
</Relationships>

</file>

<file path=xl/drawings/_rels/vmlDrawing1.vml.rels><?xml version="1.0" encoding="UTF-8" standalone="no"?>
<Relationships xmlns="http://schemas.openxmlformats.org/package/2006/relationships">
<Relationship Id="rId1" Target="../media/image1.em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>
    <xdr:from>
      <xdr:col>1</xdr:col>
      <xdr:colOff>32951</xdr:colOff>
      <xdr:row>55</xdr:row>
      <xdr:rowOff>32951</xdr:rowOff>
    </xdr:from>
    <xdr:to>
      <xdr:col>5</xdr:col>
      <xdr:colOff>593124</xdr:colOff>
      <xdr:row>55</xdr:row>
      <xdr:rowOff>32951</xdr:rowOff>
    </xdr:to>
    <xdr:sp macro="" textlink="">
      <xdr:nvSpPr>
        <xdr:cNvPr id="1160" name="Text 39"/>
        <xdr:cNvSpPr txBox="1">
          <a:spLocks noChangeArrowheads="1"/>
        </xdr:cNvSpPr>
      </xdr:nvSpPr>
      <xdr:spPr bwMode="auto">
        <a:xfrm>
          <a:off x="115330" y="10552670"/>
          <a:ext cx="3970638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243840</xdr:colOff>
          <xdr:row>1</xdr:row>
          <xdr:rowOff>365760</xdr:rowOff>
        </xdr:from>
        <xdr:to>
          <xdr:col>22</xdr:col>
          <xdr:colOff>563880</xdr:colOff>
          <xdr:row>4</xdr:row>
          <xdr:rowOff>22860</xdr:rowOff>
        </xdr:to>
        <xdr:sp macro="" textlink="">
          <xdr:nvSpPr>
            <xdr:cNvPr id="2" name="CommandButton1" hidden="1">
              <a:extLst>
                <a:ext uri="{63B3BB69-23CF-44E3-9099-C40C66FF867C}">
                  <a14:compatExt spid="_x0000_s1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twoCell">
    <xdr:from>
      <xdr:col>9</xdr:col>
      <xdr:colOff>0</xdr:colOff>
      <xdr:row>0</xdr:row>
      <xdr:rowOff>0</xdr:rowOff>
    </xdr:from>
    <xdr:to>
      <xdr:col>13</xdr:col>
      <xdr:colOff>330</xdr:colOff>
      <xdr:row>2</xdr:row>
      <xdr:rowOff>70</xdr:rowOff>
    </xdr:to>
    <xdr:pic>
      <xdr:nvPicPr>
        <xdr:cNvPr id="2" name="Picture 1" descr="Picture"/>
        <xdr:cNvPicPr>
          <a:picLocks noChangeAspect="true"/>
        </xdr:cNvPicPr>
      </xdr:nvPicPr>
      <xdr:blipFill>
        <a:blip r:embed="rId1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4</xdr:col>
      <xdr:colOff>0</xdr:colOff>
      <xdr:row>0</xdr:row>
      <xdr:rowOff>0</xdr:rowOff>
    </xdr:from>
    <xdr:to>
      <xdr:col>8</xdr:col>
      <xdr:colOff>330</xdr:colOff>
      <xdr:row>1</xdr:row>
      <xdr:rowOff>70</xdr:rowOff>
    </xdr:to>
    <xdr:pic>
      <xdr:nvPicPr>
        <xdr:cNvPr id="1" name="Picture 1" descr="Picture"/>
        <xdr:cNvPicPr>
          <a:picLocks noChangeAspect="true"/>
        </xdr:cNvPicPr>
      </xdr:nvPicPr>
      <xdr:blipFill>
        <a:blip r:embed="rId1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no"?>
<Relationships xmlns="http://schemas.openxmlformats.org/package/2006/relationships">
<Relationship Id="rId1" Target="../Policy/Asia%20T&amp;E%20Policy_1%20Jan%202017.docx" TargetMode="External" Type="http://schemas.openxmlformats.org/officeDocument/2006/relationships/hyperlink"/>
<Relationship Id="rId2" Target="../printerSettings/printerSettings1.bin" Type="http://schemas.openxmlformats.org/officeDocument/2006/relationships/printerSettings"/>
<Relationship Id="rId3" Target="../drawings/drawing1.xml" Type="http://schemas.openxmlformats.org/officeDocument/2006/relationships/drawing"/>
<Relationship Id="rId4" Target="../drawings/vmlDrawing1.vml" Type="http://schemas.openxmlformats.org/officeDocument/2006/relationships/vmlDrawing"/>
<Relationship Id="rId5" Target="../activeX/activeX1.xml" Type="http://schemas.openxmlformats.org/officeDocument/2006/relationships/control"/>
<Relationship Id="rId6" Target="../media/image1.emf" Type="http://schemas.openxmlformats.org/officeDocument/2006/relationships/image"/>
<Relationship Id="rId7" Target="../comments1.xml" Type="http://schemas.openxmlformats.org/officeDocument/2006/relationships/comments"/>
</Relationships>

</file>

<file path=xl/worksheets/_rels/sheet3.xml.rels><?xml version="1.0" encoding="UTF-8" standalone="no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vmlDrawing2.vml" Type="http://schemas.openxmlformats.org/officeDocument/2006/relationships/vmlDrawing"/>
<Relationship Id="rId3" Target="../comments2.xml" Type="http://schemas.openxmlformats.org/officeDocument/2006/relationships/comments"/>
<Relationship Id="rId4" Target="../drawings/drawing2.xml" Type="http://schemas.openxmlformats.org/officeDocument/2006/relationships/drawing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4"/>
  <sheetViews>
    <sheetView showGridLines="0" workbookViewId="0">
      <selection activeCell="N10" sqref="N10"/>
    </sheetView>
  </sheetViews>
  <sheetFormatPr defaultRowHeight="10.199999999999999"/>
  <sheetData>
    <row r="1" spans="1:12" s="210" customFormat="1" ht="15.6">
      <c r="A1" s="208" t="s">
        <v>146</v>
      </c>
      <c r="B1" s="209"/>
    </row>
    <row r="2" spans="1:12" s="210" customFormat="1" ht="15.6">
      <c r="B2" s="209"/>
    </row>
    <row r="3" spans="1:12" s="210" customFormat="1" ht="31.2" customHeight="1">
      <c r="A3" s="211" t="s">
        <v>70</v>
      </c>
      <c r="B3" s="366" t="s">
        <v>78</v>
      </c>
      <c r="C3" s="366"/>
      <c r="D3" s="366"/>
      <c r="E3" s="366"/>
      <c r="F3" s="366"/>
      <c r="G3" s="366"/>
      <c r="H3" s="366"/>
      <c r="I3" s="366"/>
      <c r="J3" s="366"/>
      <c r="K3" s="366"/>
      <c r="L3" s="366"/>
    </row>
    <row r="4" spans="1:12" s="210" customFormat="1" ht="15.6">
      <c r="B4" s="209" t="s">
        <v>72</v>
      </c>
      <c r="C4" s="210" t="s">
        <v>71</v>
      </c>
    </row>
    <row r="5" spans="1:12" s="210" customFormat="1" ht="15.6">
      <c r="B5" s="209" t="s">
        <v>73</v>
      </c>
      <c r="C5" s="210" t="s">
        <v>74</v>
      </c>
    </row>
    <row r="6" spans="1:12" s="210" customFormat="1" ht="15.6">
      <c r="B6" s="209" t="s">
        <v>75</v>
      </c>
      <c r="C6" s="210" t="s">
        <v>90</v>
      </c>
    </row>
    <row r="7" spans="1:12" s="210" customFormat="1" ht="12.15" customHeight="1">
      <c r="B7" s="209"/>
    </row>
    <row r="8" spans="1:12" s="210" customFormat="1" ht="31.2" customHeight="1">
      <c r="A8" s="211" t="s">
        <v>76</v>
      </c>
      <c r="B8" s="366" t="s">
        <v>108</v>
      </c>
      <c r="C8" s="366"/>
      <c r="D8" s="366"/>
      <c r="E8" s="366"/>
      <c r="F8" s="366"/>
      <c r="G8" s="366"/>
      <c r="H8" s="366"/>
      <c r="I8" s="366"/>
      <c r="J8" s="366"/>
      <c r="K8" s="366"/>
      <c r="L8" s="366"/>
    </row>
    <row r="9" spans="1:12" s="210" customFormat="1" ht="13.95" customHeight="1">
      <c r="A9" s="211"/>
      <c r="B9" s="361"/>
      <c r="C9" s="361"/>
      <c r="D9" s="361"/>
      <c r="E9" s="361"/>
      <c r="F9" s="361"/>
      <c r="G9" s="361"/>
      <c r="H9" s="361"/>
      <c r="I9" s="361"/>
      <c r="J9" s="361"/>
      <c r="K9" s="361"/>
      <c r="L9" s="361"/>
    </row>
    <row r="10" spans="1:12" s="210" customFormat="1" ht="33.75" customHeight="1">
      <c r="A10" s="211" t="s">
        <v>77</v>
      </c>
      <c r="B10" s="365" t="s">
        <v>109</v>
      </c>
      <c r="C10" s="365"/>
      <c r="D10" s="365"/>
      <c r="E10" s="365"/>
      <c r="F10" s="365"/>
      <c r="G10" s="365"/>
      <c r="H10" s="365"/>
      <c r="I10" s="365"/>
      <c r="J10" s="365"/>
      <c r="K10" s="365"/>
      <c r="L10" s="365"/>
    </row>
    <row r="11" spans="1:12" s="210" customFormat="1" ht="15.6">
      <c r="A11" s="211"/>
      <c r="B11" s="209"/>
    </row>
    <row r="12" spans="1:12" s="210" customFormat="1" ht="32.4" customHeight="1">
      <c r="A12" s="211" t="s">
        <v>80</v>
      </c>
      <c r="B12" s="365" t="s">
        <v>147</v>
      </c>
      <c r="C12" s="365"/>
      <c r="D12" s="365"/>
      <c r="E12" s="365"/>
      <c r="F12" s="365"/>
      <c r="G12" s="365"/>
      <c r="H12" s="365"/>
      <c r="I12" s="365"/>
      <c r="J12" s="365"/>
      <c r="K12" s="365"/>
      <c r="L12" s="365"/>
    </row>
    <row r="13" spans="1:12" s="210" customFormat="1" ht="15.6">
      <c r="B13" s="360"/>
      <c r="C13" s="360"/>
      <c r="D13" s="360"/>
      <c r="E13" s="360"/>
      <c r="F13" s="360"/>
      <c r="G13" s="360"/>
      <c r="H13" s="360"/>
      <c r="I13" s="360"/>
      <c r="J13" s="360"/>
      <c r="K13" s="360"/>
      <c r="L13" s="360"/>
    </row>
    <row r="14" spans="1:12" s="210" customFormat="1" ht="33.15" customHeight="1">
      <c r="A14" s="211" t="s">
        <v>87</v>
      </c>
      <c r="B14" s="365" t="s">
        <v>148</v>
      </c>
      <c r="C14" s="365"/>
      <c r="D14" s="365"/>
      <c r="E14" s="365"/>
      <c r="F14" s="365"/>
      <c r="G14" s="365"/>
      <c r="H14" s="365"/>
      <c r="I14" s="365"/>
      <c r="J14" s="365"/>
      <c r="K14" s="365"/>
      <c r="L14" s="365"/>
    </row>
    <row r="15" spans="1:12" s="210" customFormat="1" ht="15.6">
      <c r="B15" s="209"/>
    </row>
    <row r="16" spans="1:12" s="210" customFormat="1" ht="50.4" customHeight="1">
      <c r="A16" s="211" t="s">
        <v>88</v>
      </c>
      <c r="B16" s="365" t="s">
        <v>110</v>
      </c>
      <c r="C16" s="365"/>
      <c r="D16" s="365"/>
      <c r="E16" s="365"/>
      <c r="F16" s="365"/>
      <c r="G16" s="365"/>
      <c r="H16" s="365"/>
      <c r="I16" s="365"/>
      <c r="J16" s="365"/>
      <c r="K16" s="365"/>
      <c r="L16" s="365"/>
    </row>
    <row r="17" spans="1:12" s="210" customFormat="1" ht="15.6">
      <c r="A17" s="211"/>
      <c r="B17" s="209" t="s">
        <v>103</v>
      </c>
      <c r="C17" s="210" t="s">
        <v>79</v>
      </c>
    </row>
    <row r="18" spans="1:12" s="210" customFormat="1" ht="15.6">
      <c r="A18" s="211"/>
      <c r="B18" s="209" t="s">
        <v>104</v>
      </c>
      <c r="C18" s="210" t="s">
        <v>81</v>
      </c>
    </row>
    <row r="19" spans="1:12" s="210" customFormat="1" ht="15.6">
      <c r="B19" s="209" t="s">
        <v>105</v>
      </c>
      <c r="C19" s="210" t="s">
        <v>89</v>
      </c>
    </row>
    <row r="20" spans="1:12" s="210" customFormat="1" ht="15.6">
      <c r="A20" s="211"/>
      <c r="B20" s="209"/>
      <c r="C20" s="210" t="s">
        <v>82</v>
      </c>
    </row>
    <row r="21" spans="1:12" s="210" customFormat="1" ht="15.6">
      <c r="B21"/>
      <c r="C21"/>
      <c r="D21"/>
      <c r="E21"/>
      <c r="F21"/>
      <c r="G21"/>
      <c r="H21"/>
      <c r="I21"/>
      <c r="J21"/>
      <c r="K21"/>
      <c r="L21"/>
    </row>
    <row r="22" spans="1:12" s="210" customFormat="1" ht="15.6">
      <c r="B22"/>
      <c r="C22"/>
      <c r="D22"/>
      <c r="E22"/>
      <c r="F22"/>
      <c r="G22"/>
      <c r="H22"/>
      <c r="I22"/>
      <c r="J22"/>
      <c r="K22"/>
      <c r="L22"/>
    </row>
    <row r="23" spans="1:12" s="210" customFormat="1" ht="15.6">
      <c r="B23"/>
      <c r="C23"/>
      <c r="D23"/>
      <c r="E23"/>
      <c r="F23"/>
      <c r="G23"/>
      <c r="H23"/>
      <c r="I23"/>
      <c r="J23"/>
      <c r="K23"/>
      <c r="L23"/>
    </row>
    <row r="24" spans="1:12" s="210" customFormat="1" ht="15.6">
      <c r="B24"/>
      <c r="C24"/>
      <c r="D24"/>
      <c r="E24"/>
      <c r="F24"/>
      <c r="G24"/>
      <c r="H24"/>
      <c r="I24"/>
      <c r="J24"/>
      <c r="K24"/>
      <c r="L24"/>
    </row>
  </sheetData>
  <sheetProtection password="8879" sheet="1" objects="1" scenarios="1"/>
  <mergeCells count="6">
    <mergeCell ref="B16:L16"/>
    <mergeCell ref="B3:L3"/>
    <mergeCell ref="B8:L8"/>
    <mergeCell ref="B10:L10"/>
    <mergeCell ref="B12:L12"/>
    <mergeCell ref="B14:L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X177"/>
  <sheetViews>
    <sheetView showGridLines="0" showZeros="0" showOutlineSymbols="0" view="pageBreakPreview" zoomScale="65" zoomScaleNormal="76" zoomScaleSheetLayoutView="65" zoomScalePageLayoutView="75" workbookViewId="0">
      <selection activeCell="S43" sqref="S43:T43"/>
    </sheetView>
  </sheetViews>
  <sheetFormatPr defaultColWidth="12" defaultRowHeight="10.199999999999999" outlineLevelRow="4" outlineLevelCol="1"/>
  <cols>
    <col min="1" max="1" customWidth="true" style="5" width="1.42578125" collapsed="false"/>
    <col min="2" max="2" customWidth="true" style="5" width="19.85546875" collapsed="false"/>
    <col min="3" max="3" customWidth="true" style="5" width="22.140625" collapsed="false"/>
    <col min="4" max="4" customWidth="true" style="288" width="13.140625" collapsed="false"/>
    <col min="5" max="11" customWidth="true" style="5" width="19.42578125" outlineLevel="1" collapsed="false"/>
    <col min="12" max="12" customWidth="true" style="5" width="8.0" outlineLevel="1" collapsed="false"/>
    <col min="13" max="13" customWidth="true" style="5" width="18.42578125" collapsed="false"/>
    <col min="14" max="14" customWidth="true" style="5" width="18.7109375" collapsed="false"/>
    <col min="15" max="15" customWidth="true" style="5" width="1.85546875" collapsed="false"/>
    <col min="16" max="16" customWidth="true" style="5" width="14.85546875" collapsed="false"/>
    <col min="17" max="17" customWidth="true" style="5" width="5.85546875" collapsed="false"/>
    <col min="18" max="18" customWidth="true" style="5" width="11.42578125" collapsed="false"/>
    <col min="19" max="19" customWidth="true" style="5" width="8.7109375" collapsed="false"/>
    <col min="20" max="20" customWidth="true" style="5" width="21.0" collapsed="false"/>
    <col min="21" max="21" customWidth="true" style="5" width="6.7109375" collapsed="false"/>
    <col min="22" max="22" customWidth="true" style="5" width="12.0" collapsed="false"/>
    <col min="23" max="16384" style="5" width="12.0" collapsed="false"/>
  </cols>
  <sheetData>
    <row r="1" spans="2:20" ht="60.0" customHeight="true">
      <c r="B1" s="2"/>
      <c r="C1" s="3"/>
      <c r="D1" s="272"/>
      <c r="E1" s="3"/>
      <c r="F1" s="3"/>
      <c r="G1" s="3"/>
      <c r="H1" s="3"/>
      <c r="I1" s="3"/>
      <c r="J1" s="3"/>
      <c r="K1" s="4"/>
      <c r="L1" s="3"/>
      <c r="O1" s="3"/>
      <c r="P1" s="36" t="s">
        <v>145</v>
      </c>
      <c r="Q1" s="3"/>
      <c r="R1" s="3"/>
      <c r="S1" s="3"/>
      <c r="T1" s="3"/>
    </row>
    <row r="2" spans="2:20" ht="33">
      <c r="B2" s="186" t="s">
        <v>138</v>
      </c>
      <c r="C2" s="7"/>
      <c r="D2" s="273"/>
      <c r="E2" s="8"/>
      <c r="F2" s="3"/>
      <c r="G2" s="9"/>
      <c r="H2" s="3"/>
      <c r="I2" s="3"/>
      <c r="J2" s="3"/>
      <c r="K2" s="3"/>
      <c r="L2" s="83"/>
      <c r="M2" s="3"/>
      <c r="N2" s="3"/>
      <c r="O2" s="3"/>
      <c r="P2" s="383" t="s">
        <v>154</v>
      </c>
      <c r="Q2" s="384"/>
      <c r="R2" s="384"/>
      <c r="S2" s="384"/>
      <c r="T2" s="385"/>
    </row>
    <row r="3" spans="2:20" ht="17.399999999999999" customHeight="1">
      <c r="B3" s="9" t="s">
        <v>69</v>
      </c>
      <c r="C3" s="10"/>
      <c r="D3" s="272"/>
      <c r="E3" s="3"/>
      <c r="F3" s="3"/>
      <c r="G3" s="3"/>
      <c r="H3" s="432" t="s">
        <v>151</v>
      </c>
      <c r="I3" s="432"/>
      <c r="J3" s="432"/>
      <c r="K3" s="432"/>
      <c r="L3" s="432"/>
      <c r="M3" s="432"/>
      <c r="O3" s="3"/>
      <c r="P3" s="43"/>
      <c r="Q3" s="42"/>
      <c r="R3" s="42"/>
      <c r="S3" s="42"/>
      <c r="T3" s="42"/>
    </row>
    <row r="4" spans="2:20" ht="19.95" customHeight="1">
      <c r="B4" s="10"/>
      <c r="C4" s="10"/>
      <c r="D4" s="272"/>
      <c r="E4" s="88"/>
      <c r="F4" s="3"/>
      <c r="G4" s="3"/>
      <c r="H4" s="3"/>
      <c r="I4" s="3"/>
      <c r="J4" s="3"/>
      <c r="K4" s="3"/>
      <c r="L4" s="3"/>
      <c r="O4" s="3"/>
      <c r="P4" s="386"/>
      <c r="Q4" s="386"/>
      <c r="R4" s="386"/>
      <c r="S4" s="386"/>
      <c r="T4" s="386"/>
    </row>
    <row r="5" spans="2:20" s="89" customFormat="1" ht="18.600000000000001" customHeight="1">
      <c r="B5" s="11" t="s">
        <v>0</v>
      </c>
      <c r="C5" s="433" t="s">
        <v>155</v>
      </c>
      <c r="D5" s="434"/>
      <c r="E5" s="434"/>
      <c r="F5" s="434"/>
      <c r="G5" s="434"/>
      <c r="H5" s="434"/>
      <c r="J5" s="12" t="s">
        <v>1</v>
      </c>
      <c r="K5" s="237" t="s">
        <v>158</v>
      </c>
      <c r="M5" s="90" t="s">
        <v>2</v>
      </c>
      <c r="N5" s="91" t="s">
        <v>156</v>
      </c>
      <c r="O5" s="92"/>
      <c r="P5" s="386"/>
      <c r="Q5" s="386"/>
      <c r="R5" s="386"/>
      <c r="S5" s="386"/>
      <c r="T5" s="386"/>
    </row>
    <row r="6" spans="2:20" s="89" customFormat="1" ht="18.600000000000001" customHeight="1">
      <c r="B6" s="13"/>
      <c r="C6" s="13"/>
      <c r="D6" s="274"/>
      <c r="E6" s="13"/>
      <c r="F6" s="13"/>
      <c r="G6" s="13"/>
      <c r="H6" s="13"/>
      <c r="I6" s="13"/>
      <c r="J6" s="13"/>
      <c r="K6" s="13"/>
      <c r="L6" s="13"/>
      <c r="M6" s="13"/>
      <c r="O6" s="92"/>
      <c r="P6" s="92"/>
      <c r="Q6" s="92"/>
      <c r="R6" s="92"/>
      <c r="S6" s="92"/>
      <c r="T6" s="92"/>
    </row>
    <row r="7" spans="2:20" s="89" customFormat="1" ht="18.600000000000001" customHeight="1">
      <c r="B7" s="11" t="s">
        <v>3</v>
      </c>
      <c r="C7" s="11"/>
      <c r="D7" s="433" t="s">
        <v>157</v>
      </c>
      <c r="E7" s="434"/>
      <c r="F7" s="434"/>
      <c r="G7" s="434"/>
      <c r="H7" s="434"/>
      <c r="I7" s="14" t="s">
        <v>119</v>
      </c>
      <c r="J7" s="14"/>
      <c r="K7" s="93" t="n">
        <v>41659.0</v>
      </c>
      <c r="L7" s="94"/>
      <c r="M7" s="95" t="s">
        <v>4</v>
      </c>
      <c r="N7" s="96" t="n">
        <f>1+INT((K8-(DATE(YEAR(K8),1,2)-WEEKDAY(DATE(YEAR(K8),1,0))))/7)</f>
        <v>4.0</v>
      </c>
      <c r="O7" s="41"/>
      <c r="P7" s="92"/>
      <c r="Q7" s="92"/>
      <c r="R7" s="92"/>
      <c r="S7" s="92"/>
      <c r="T7" s="92"/>
    </row>
    <row r="8" spans="2:20" s="89" customFormat="1" ht="19.5" customHeight="1" thickBot="1">
      <c r="B8" s="92"/>
      <c r="C8" s="97"/>
      <c r="D8" s="268"/>
      <c r="E8" s="98" t="n">
        <f>K7-WEEKDAY(K7,2)+1</f>
        <v>41659.0</v>
      </c>
      <c r="F8" s="98" t="n">
        <f>E8+1</f>
        <v>41660.0</v>
      </c>
      <c r="G8" s="98" t="n">
        <f t="shared" ref="G8:K8" si="0">F8+1</f>
        <v>41661.0</v>
      </c>
      <c r="H8" s="98" t="n">
        <f t="shared" si="0"/>
        <v>41662.0</v>
      </c>
      <c r="I8" s="98" t="n">
        <f t="shared" si="0"/>
        <v>41663.0</v>
      </c>
      <c r="J8" s="98" t="n">
        <f t="shared" si="0"/>
        <v>41664.0</v>
      </c>
      <c r="K8" s="98" t="n">
        <f t="shared" si="0"/>
        <v>41665.0</v>
      </c>
      <c r="L8" s="97"/>
      <c r="M8" s="92"/>
      <c r="N8" s="92"/>
      <c r="O8" s="97"/>
      <c r="P8" s="92"/>
      <c r="Q8" s="92"/>
      <c r="R8" s="92"/>
      <c r="S8" s="92"/>
      <c r="T8" s="92"/>
    </row>
    <row r="9" spans="2:20" s="89" customFormat="1" ht="19.2" customHeight="1" outlineLevel="2" thickBot="1">
      <c r="B9" s="136"/>
      <c r="C9" s="137"/>
      <c r="D9" s="269" t="s">
        <v>141</v>
      </c>
      <c r="E9" s="267" t="str">
        <f t="shared" ref="E9:J9" si="1">TEXT(E8, "dddd")</f>
        <v>Monday</v>
      </c>
      <c r="F9" s="100" t="str">
        <f t="shared" si="1"/>
        <v>Tuesday</v>
      </c>
      <c r="G9" s="100" t="str">
        <f t="shared" si="1"/>
        <v>Wednesday</v>
      </c>
      <c r="H9" s="100" t="str">
        <f t="shared" si="1"/>
        <v>Thursday</v>
      </c>
      <c r="I9" s="100" t="str">
        <f t="shared" si="1"/>
        <v>Friday</v>
      </c>
      <c r="J9" s="234" t="str">
        <f t="shared" si="1"/>
        <v>Saturday</v>
      </c>
      <c r="K9" s="100" t="str">
        <f>TEXT(K8, "dddd")</f>
        <v>Sunday</v>
      </c>
      <c r="L9" s="101"/>
      <c r="M9" s="92"/>
      <c r="N9" s="102" t="s">
        <v>6</v>
      </c>
      <c r="O9" s="97"/>
      <c r="P9" s="92"/>
      <c r="Q9" s="92"/>
      <c r="R9" s="92"/>
      <c r="S9" s="92"/>
      <c r="T9" s="92"/>
    </row>
    <row r="10" spans="2:20" s="89" customFormat="1" ht="19.2" customHeight="1" outlineLevel="2" thickTop="1">
      <c r="B10" s="138" t="s">
        <v>32</v>
      </c>
      <c r="C10" s="139"/>
      <c r="D10" s="275"/>
      <c r="E10" s="161" t="s">
        <v>154</v>
      </c>
      <c r="F10" s="161" t="s">
        <v>154</v>
      </c>
      <c r="G10" s="160" t="s">
        <v>154</v>
      </c>
      <c r="H10" s="162" t="s">
        <v>154</v>
      </c>
      <c r="I10" s="160" t="s">
        <v>154</v>
      </c>
      <c r="J10" s="233" t="s">
        <v>154</v>
      </c>
      <c r="K10" s="163" t="s">
        <v>154</v>
      </c>
      <c r="L10" s="103"/>
      <c r="M10" s="92"/>
      <c r="N10" s="104" t="s">
        <v>8</v>
      </c>
      <c r="O10" s="97"/>
      <c r="P10" s="458" t="str">
        <f>IF(S13-S54=0," ","ERROR")</f>
        <v xml:space="preserve"> </v>
      </c>
      <c r="Q10" s="459"/>
      <c r="R10" s="419"/>
      <c r="S10" s="444" t="s">
        <v>144</v>
      </c>
      <c r="T10" s="445"/>
    </row>
    <row r="11" spans="2:20" s="89" customFormat="1" ht="21.6" customHeight="1" outlineLevel="2" thickBot="1">
      <c r="B11" s="140" t="s">
        <v>33</v>
      </c>
      <c r="C11" s="141"/>
      <c r="D11" s="276"/>
      <c r="E11" s="165" t="s">
        <v>154</v>
      </c>
      <c r="F11" s="165" t="s">
        <v>154</v>
      </c>
      <c r="G11" s="164" t="s">
        <v>154</v>
      </c>
      <c r="H11" s="166" t="s">
        <v>154</v>
      </c>
      <c r="I11" s="164" t="s">
        <v>154</v>
      </c>
      <c r="J11" s="235" t="s">
        <v>154</v>
      </c>
      <c r="K11" s="164" t="s">
        <v>154</v>
      </c>
      <c r="L11" s="103"/>
      <c r="M11" s="92"/>
      <c r="N11" s="105" t="s">
        <v>9</v>
      </c>
      <c r="O11" s="97"/>
      <c r="P11" s="199" t="s">
        <v>7</v>
      </c>
      <c r="Q11" s="198"/>
      <c r="R11" s="261" t="s">
        <v>92</v>
      </c>
      <c r="S11" s="430" t="n">
        <f>+M51</f>
        <v>0.0</v>
      </c>
      <c r="T11" s="431"/>
    </row>
    <row r="12" spans="2:20" s="89" customFormat="1" ht="21.6" customHeight="1" outlineLevel="2" thickBot="1">
      <c r="B12" s="142"/>
      <c r="C12" s="142"/>
      <c r="D12" s="277"/>
      <c r="E12" s="167"/>
      <c r="F12" s="167"/>
      <c r="G12" s="248"/>
      <c r="H12" s="167"/>
      <c r="I12" s="167"/>
      <c r="J12" s="232"/>
      <c r="K12" s="167"/>
      <c r="L12" s="106"/>
      <c r="M12" s="107" t="s">
        <v>5</v>
      </c>
      <c r="N12" s="92"/>
      <c r="O12" s="108"/>
      <c r="P12" s="199" t="s">
        <v>58</v>
      </c>
      <c r="Q12" s="198"/>
      <c r="R12" s="262" t="s">
        <v>93</v>
      </c>
      <c r="S12" s="430" t="n">
        <f>-N49</f>
        <v>0.0</v>
      </c>
      <c r="T12" s="431"/>
    </row>
    <row r="13" spans="2:20" s="89" customFormat="1" ht="21.6" customHeight="1" outlineLevel="4" thickBot="1">
      <c r="B13" s="318" t="s">
        <v>35</v>
      </c>
      <c r="C13" s="319"/>
      <c r="D13" s="320"/>
      <c r="E13" s="329"/>
      <c r="F13" s="329"/>
      <c r="G13" s="329"/>
      <c r="H13" s="329"/>
      <c r="I13" s="329"/>
      <c r="J13" s="329"/>
      <c r="K13" s="329"/>
      <c r="L13" s="435" t="s">
        <v>120</v>
      </c>
      <c r="M13" s="321"/>
      <c r="N13" s="362" t="n">
        <f>SUM(E13:K13)</f>
        <v>0.0</v>
      </c>
      <c r="O13" s="109"/>
      <c r="P13" s="199" t="s">
        <v>10</v>
      </c>
      <c r="Q13" s="198"/>
      <c r="R13" s="262" t="s">
        <v>94</v>
      </c>
      <c r="S13" s="446" t="n">
        <f>SUM(S11:S12)</f>
        <v>0.0</v>
      </c>
      <c r="T13" s="447"/>
    </row>
    <row r="14" spans="2:20" s="89" customFormat="1" ht="19.5" customHeight="1" outlineLevel="4" thickBot="1">
      <c r="B14" s="315" t="s">
        <v>122</v>
      </c>
      <c r="C14" s="316"/>
      <c r="D14" s="317"/>
      <c r="E14" s="330"/>
      <c r="F14" s="330"/>
      <c r="G14" s="330"/>
      <c r="H14" s="330"/>
      <c r="I14" s="330"/>
      <c r="J14" s="330"/>
      <c r="K14" s="330"/>
      <c r="L14" s="436"/>
      <c r="M14" s="321" t="n">
        <f>SUM(E14:K14)</f>
        <v>0.0</v>
      </c>
      <c r="N14" s="110"/>
      <c r="O14" s="109"/>
      <c r="P14" s="75" t="s">
        <v>36</v>
      </c>
      <c r="Q14" s="92"/>
      <c r="R14" s="201"/>
      <c r="S14" s="448" t="n">
        <v>0.0</v>
      </c>
      <c r="T14" s="449"/>
    </row>
    <row r="15" spans="2:20" s="89" customFormat="1" ht="19.2" customHeight="1" outlineLevel="4">
      <c r="B15" s="145" t="s">
        <v>123</v>
      </c>
      <c r="C15" s="144"/>
      <c r="D15" s="290" t="s">
        <v>59</v>
      </c>
      <c r="E15" s="331" t="n">
        <f t="shared" ref="E15:K15" si="2">E13+E14</f>
        <v>0.0</v>
      </c>
      <c r="F15" s="331" t="n">
        <f t="shared" si="2"/>
        <v>0.0</v>
      </c>
      <c r="G15" s="331" t="n">
        <f t="shared" si="2"/>
        <v>0.0</v>
      </c>
      <c r="H15" s="331" t="n">
        <f t="shared" si="2"/>
        <v>0.0</v>
      </c>
      <c r="I15" s="331" t="n">
        <f t="shared" si="2"/>
        <v>0.0</v>
      </c>
      <c r="J15" s="331" t="n">
        <f t="shared" si="2"/>
        <v>0.0</v>
      </c>
      <c r="K15" s="331" t="n">
        <f t="shared" si="2"/>
        <v>0.0</v>
      </c>
      <c r="L15" s="436"/>
      <c r="M15" s="322" t="n">
        <f>SUM(E15:K15)</f>
        <v>0.0</v>
      </c>
      <c r="N15" s="111"/>
      <c r="O15" s="109"/>
      <c r="P15" s="75" t="s">
        <v>11</v>
      </c>
      <c r="Q15" s="92"/>
      <c r="R15" s="201" t="s">
        <v>95</v>
      </c>
      <c r="S15" s="450"/>
      <c r="T15" s="451"/>
    </row>
    <row r="16" spans="2:20" s="89" customFormat="1" ht="2.7" customHeight="1" outlineLevel="4">
      <c r="B16" s="146"/>
      <c r="C16" s="147"/>
      <c r="D16" s="278"/>
      <c r="E16" s="332"/>
      <c r="F16" s="333"/>
      <c r="G16" s="333"/>
      <c r="H16" s="333"/>
      <c r="I16" s="333"/>
      <c r="J16" s="334"/>
      <c r="K16" s="335"/>
      <c r="L16" s="436"/>
      <c r="M16" s="322" t="n">
        <f t="shared" ref="M16" si="3">SUM(E16:K16)</f>
        <v>0.0</v>
      </c>
      <c r="N16" s="111"/>
      <c r="O16" s="109"/>
      <c r="P16" s="74"/>
      <c r="Q16" s="125"/>
      <c r="R16" s="263"/>
      <c r="S16" s="452"/>
      <c r="T16" s="453"/>
    </row>
    <row r="17" spans="2:22" s="89" customFormat="1" ht="19.5" customHeight="1" outlineLevel="4">
      <c r="B17" s="135" t="s">
        <v>12</v>
      </c>
      <c r="C17" s="148"/>
      <c r="D17" s="290" t="s">
        <v>60</v>
      </c>
      <c r="E17" s="336"/>
      <c r="F17" s="337"/>
      <c r="G17" s="336"/>
      <c r="H17" s="337"/>
      <c r="I17" s="336"/>
      <c r="J17" s="337"/>
      <c r="K17" s="336"/>
      <c r="L17" s="436"/>
      <c r="M17" s="322" t="n">
        <f>SUM(E17:K17)</f>
        <v>0.0</v>
      </c>
      <c r="N17" s="111"/>
      <c r="O17" s="112"/>
      <c r="P17" s="75" t="s">
        <v>13</v>
      </c>
      <c r="Q17" s="92"/>
      <c r="R17" s="201" t="s">
        <v>96</v>
      </c>
      <c r="S17" s="454" t="n">
        <v>0.0</v>
      </c>
      <c r="T17" s="455"/>
    </row>
    <row r="18" spans="2:22" s="89" customFormat="1" ht="2.7" customHeight="1" outlineLevel="4">
      <c r="B18" s="149"/>
      <c r="C18" s="150"/>
      <c r="D18" s="280"/>
      <c r="E18" s="332"/>
      <c r="F18" s="333"/>
      <c r="G18" s="333"/>
      <c r="H18" s="333"/>
      <c r="I18" s="333"/>
      <c r="J18" s="334"/>
      <c r="K18" s="335"/>
      <c r="L18" s="436"/>
      <c r="M18" s="322"/>
      <c r="N18" s="111"/>
      <c r="O18" s="112"/>
      <c r="P18" s="74"/>
      <c r="Q18" s="125"/>
      <c r="R18" s="263"/>
      <c r="S18" s="456"/>
      <c r="T18" s="457"/>
    </row>
    <row r="19" spans="2:22" s="89" customFormat="1" ht="19.2" customHeight="1" outlineLevel="3">
      <c r="B19" s="135" t="s">
        <v>14</v>
      </c>
      <c r="C19" s="148"/>
      <c r="D19" s="290" t="s">
        <v>61</v>
      </c>
      <c r="E19" s="336"/>
      <c r="F19" s="337"/>
      <c r="G19" s="336"/>
      <c r="H19" s="337"/>
      <c r="I19" s="336"/>
      <c r="J19" s="337"/>
      <c r="K19" s="336"/>
      <c r="L19" s="436"/>
      <c r="M19" s="322" t="n">
        <f>SUM(E19:K19)</f>
        <v>0.0</v>
      </c>
      <c r="N19" s="111"/>
      <c r="O19" s="112"/>
      <c r="P19" s="75" t="s">
        <v>15</v>
      </c>
      <c r="Q19" s="92"/>
      <c r="R19" s="402" t="s">
        <v>101</v>
      </c>
      <c r="S19" s="410" t="n">
        <f>-SUM(S14:S17)</f>
        <v>0.0</v>
      </c>
      <c r="T19" s="411"/>
    </row>
    <row r="20" spans="2:22" s="89" customFormat="1" ht="3.3" customHeight="1" outlineLevel="3">
      <c r="B20" s="149"/>
      <c r="C20" s="150"/>
      <c r="D20" s="278"/>
      <c r="E20" s="332"/>
      <c r="F20" s="333"/>
      <c r="G20" s="333"/>
      <c r="H20" s="333"/>
      <c r="I20" s="333"/>
      <c r="J20" s="334"/>
      <c r="K20" s="335"/>
      <c r="L20" s="436"/>
      <c r="M20" s="322" t="n">
        <f t="shared" ref="M20:M33" si="4">SUM(E20:K20)</f>
        <v>0.0</v>
      </c>
      <c r="N20" s="113"/>
      <c r="O20" s="114"/>
      <c r="P20" s="74"/>
      <c r="Q20" s="125"/>
      <c r="R20" s="403"/>
      <c r="S20" s="410"/>
      <c r="T20" s="411"/>
    </row>
    <row r="21" spans="2:22" s="89" customFormat="1" ht="20.85" customHeight="1" outlineLevel="4">
      <c r="B21" s="135" t="s">
        <v>16</v>
      </c>
      <c r="C21" s="148"/>
      <c r="D21" s="281"/>
      <c r="E21" s="336"/>
      <c r="F21" s="336"/>
      <c r="G21" s="336"/>
      <c r="H21" s="336"/>
      <c r="I21" s="336"/>
      <c r="J21" s="336"/>
      <c r="K21" s="336"/>
      <c r="L21" s="436"/>
      <c r="M21" s="322" t="n">
        <f t="shared" si="4"/>
        <v>0.0</v>
      </c>
      <c r="N21" s="115"/>
      <c r="O21" s="114"/>
      <c r="P21" s="75" t="s">
        <v>17</v>
      </c>
      <c r="Q21" s="92"/>
      <c r="R21" s="202"/>
      <c r="S21" s="406" t="n">
        <f>IF(-S19&gt;+S13,S19+S13,0)</f>
        <v>0.0</v>
      </c>
      <c r="T21" s="407"/>
    </row>
    <row r="22" spans="2:22" s="89" customFormat="1" ht="20.85" customHeight="1" outlineLevel="3">
      <c r="B22" s="135" t="s">
        <v>18</v>
      </c>
      <c r="C22" s="148"/>
      <c r="D22" s="281"/>
      <c r="E22" s="336"/>
      <c r="F22" s="336"/>
      <c r="G22" s="336"/>
      <c r="H22" s="336"/>
      <c r="I22" s="336"/>
      <c r="J22" s="336"/>
      <c r="K22" s="336"/>
      <c r="L22" s="436"/>
      <c r="M22" s="322" t="n">
        <f t="shared" si="4"/>
        <v>0.0</v>
      </c>
      <c r="N22" s="113"/>
      <c r="O22" s="114"/>
      <c r="P22" s="74" t="s">
        <v>17</v>
      </c>
      <c r="Q22" s="125"/>
      <c r="R22" s="203" t="s">
        <v>100</v>
      </c>
      <c r="S22" s="406"/>
      <c r="T22" s="407"/>
    </row>
    <row r="23" spans="2:22" s="89" customFormat="1" ht="20.85" customHeight="1" outlineLevel="3">
      <c r="B23" s="135" t="s">
        <v>19</v>
      </c>
      <c r="C23" s="148"/>
      <c r="D23" s="281"/>
      <c r="E23" s="336"/>
      <c r="F23" s="336"/>
      <c r="G23" s="336"/>
      <c r="H23" s="336"/>
      <c r="I23" s="336"/>
      <c r="J23" s="336"/>
      <c r="K23" s="336"/>
      <c r="L23" s="436"/>
      <c r="M23" s="322" t="n">
        <f t="shared" si="4"/>
        <v>0.0</v>
      </c>
      <c r="N23" s="113"/>
      <c r="O23" s="114"/>
      <c r="P23" s="75" t="s">
        <v>20</v>
      </c>
      <c r="Q23" s="92"/>
      <c r="R23" s="202"/>
      <c r="S23" s="406" t="n">
        <f>IF(+S13&gt;-S19,S19+S13,0)</f>
        <v>0.0</v>
      </c>
      <c r="T23" s="407"/>
    </row>
    <row r="24" spans="2:22" s="89" customFormat="1" ht="20.85" customHeight="1" outlineLevel="2" thickBot="1">
      <c r="B24" s="135" t="s">
        <v>83</v>
      </c>
      <c r="C24" s="148"/>
      <c r="D24" s="290" t="s">
        <v>62</v>
      </c>
      <c r="E24" s="331" t="n">
        <f>SUM(E21:E23)</f>
        <v>0.0</v>
      </c>
      <c r="F24" s="331" t="n">
        <f t="shared" ref="F24:K24" si="5">SUM(F21:F23)</f>
        <v>0.0</v>
      </c>
      <c r="G24" s="331" t="n">
        <f t="shared" si="5"/>
        <v>0.0</v>
      </c>
      <c r="H24" s="331" t="n">
        <f t="shared" si="5"/>
        <v>0.0</v>
      </c>
      <c r="I24" s="331" t="n">
        <f t="shared" si="5"/>
        <v>0.0</v>
      </c>
      <c r="J24" s="331" t="n">
        <f t="shared" si="5"/>
        <v>0.0</v>
      </c>
      <c r="K24" s="331" t="n">
        <f t="shared" si="5"/>
        <v>0.0</v>
      </c>
      <c r="L24" s="436"/>
      <c r="M24" s="322" t="n">
        <f t="shared" si="4"/>
        <v>0.0</v>
      </c>
      <c r="N24" s="113"/>
      <c r="O24" s="114"/>
      <c r="P24" s="200"/>
      <c r="Q24" s="116"/>
      <c r="R24" s="260" t="s">
        <v>97</v>
      </c>
      <c r="S24" s="408"/>
      <c r="T24" s="409"/>
    </row>
    <row r="25" spans="2:22" s="89" customFormat="1" ht="3.3" customHeight="1" outlineLevel="2" thickTop="1" thickBot="1">
      <c r="B25" s="135"/>
      <c r="C25" s="148"/>
      <c r="D25" s="278"/>
      <c r="E25" s="332"/>
      <c r="F25" s="333"/>
      <c r="G25" s="333"/>
      <c r="H25" s="333"/>
      <c r="I25" s="333"/>
      <c r="J25" s="334"/>
      <c r="K25" s="335"/>
      <c r="L25" s="436"/>
      <c r="M25" s="322" t="n">
        <f t="shared" si="4"/>
        <v>0.0</v>
      </c>
      <c r="N25" s="113"/>
      <c r="O25" s="114"/>
    </row>
    <row r="26" spans="2:22" s="89" customFormat="1" ht="19.5" customHeight="1" outlineLevel="2" thickTop="1">
      <c r="B26" s="151" t="s">
        <v>84</v>
      </c>
      <c r="C26" s="148"/>
      <c r="D26" s="290" t="s">
        <v>62</v>
      </c>
      <c r="E26" s="331" t="n">
        <f t="shared" ref="E26:K26" si="6">SUMIF($B$62:$B$70,E$8,$T$62:$T$70)</f>
        <v>0.0</v>
      </c>
      <c r="F26" s="331" t="n">
        <f t="shared" si="6"/>
        <v>0.0</v>
      </c>
      <c r="G26" s="331" t="n">
        <f t="shared" si="6"/>
        <v>0.0</v>
      </c>
      <c r="H26" s="331" t="n">
        <f t="shared" si="6"/>
        <v>0.0</v>
      </c>
      <c r="I26" s="331" t="n">
        <f t="shared" si="6"/>
        <v>0.0</v>
      </c>
      <c r="J26" s="331" t="n">
        <f t="shared" si="6"/>
        <v>0.0</v>
      </c>
      <c r="K26" s="331" t="n">
        <f t="shared" si="6"/>
        <v>0.0</v>
      </c>
      <c r="L26" s="436"/>
      <c r="M26" s="322" t="n">
        <f t="shared" si="4"/>
        <v>0.0</v>
      </c>
      <c r="N26" s="113"/>
      <c r="O26" s="114"/>
      <c r="P26" s="226" t="s">
        <v>130</v>
      </c>
      <c r="Q26" s="227"/>
      <c r="R26" s="227"/>
      <c r="S26" s="227"/>
      <c r="T26" s="259"/>
    </row>
    <row r="27" spans="2:22" s="89" customFormat="1" ht="3.3" customHeight="1" outlineLevel="2" thickBot="1">
      <c r="B27" s="151"/>
      <c r="C27" s="148"/>
      <c r="D27" s="279"/>
      <c r="E27" s="332">
        <v>770</v>
      </c>
      <c r="F27" s="333"/>
      <c r="G27" s="333"/>
      <c r="H27" s="333"/>
      <c r="I27" s="333"/>
      <c r="J27" s="334"/>
      <c r="K27" s="335"/>
      <c r="L27" s="436"/>
      <c r="M27" s="322" t="n">
        <f t="shared" si="4"/>
        <v>770.0</v>
      </c>
      <c r="N27" s="113"/>
      <c r="O27" s="114"/>
      <c r="P27" s="228"/>
      <c r="Q27" s="229"/>
      <c r="R27" s="229"/>
      <c r="S27" s="229"/>
      <c r="T27" s="230"/>
    </row>
    <row r="28" spans="2:22" s="89" customFormat="1" ht="19.5" customHeight="1" outlineLevel="2" thickTop="1">
      <c r="B28" s="135" t="s">
        <v>124</v>
      </c>
      <c r="C28" s="148"/>
      <c r="D28" s="290" t="s">
        <v>142</v>
      </c>
      <c r="E28" s="336"/>
      <c r="F28" s="336"/>
      <c r="G28" s="336"/>
      <c r="H28" s="336"/>
      <c r="I28" s="336"/>
      <c r="J28" s="336"/>
      <c r="K28" s="336"/>
      <c r="L28" s="436"/>
      <c r="M28" s="322" t="n">
        <f t="shared" si="4"/>
        <v>0.0</v>
      </c>
      <c r="N28" s="113"/>
      <c r="O28" s="114"/>
      <c r="P28" s="420"/>
      <c r="Q28" s="421"/>
      <c r="R28" s="421"/>
      <c r="S28" s="421"/>
      <c r="T28" s="422"/>
    </row>
    <row r="29" spans="2:22" s="89" customFormat="1" ht="3.3" customHeight="1" outlineLevel="2">
      <c r="B29" s="135"/>
      <c r="C29" s="148"/>
      <c r="D29" s="278"/>
      <c r="E29" s="332"/>
      <c r="F29" s="333"/>
      <c r="G29" s="333"/>
      <c r="H29" s="333"/>
      <c r="I29" s="333"/>
      <c r="J29" s="334"/>
      <c r="K29" s="335"/>
      <c r="L29" s="436"/>
      <c r="M29" s="322" t="n">
        <f t="shared" si="4"/>
        <v>0.0</v>
      </c>
      <c r="N29" s="113"/>
      <c r="O29" s="92"/>
      <c r="P29" s="423"/>
      <c r="Q29" s="386"/>
      <c r="R29" s="386"/>
      <c r="S29" s="386"/>
      <c r="T29" s="424"/>
    </row>
    <row r="30" spans="2:22" s="89" customFormat="1" ht="19.5" customHeight="1" outlineLevel="3" thickBot="1">
      <c r="B30" s="143" t="s">
        <v>21</v>
      </c>
      <c r="C30" s="148"/>
      <c r="D30" s="290" t="s">
        <v>63</v>
      </c>
      <c r="E30" s="336"/>
      <c r="F30" s="336"/>
      <c r="G30" s="336"/>
      <c r="H30" s="336"/>
      <c r="I30" s="336"/>
      <c r="J30" s="336"/>
      <c r="K30" s="336"/>
      <c r="L30" s="436"/>
      <c r="M30" s="322" t="n">
        <f t="shared" si="4"/>
        <v>0.0</v>
      </c>
      <c r="N30" s="113"/>
      <c r="P30" s="425"/>
      <c r="Q30" s="426"/>
      <c r="R30" s="426"/>
      <c r="S30" s="426"/>
      <c r="T30" s="427"/>
      <c r="V30" s="117"/>
    </row>
    <row r="31" spans="2:22" s="89" customFormat="1" ht="20.399999999999999" customHeight="1" outlineLevel="3" thickTop="1" thickBot="1">
      <c r="B31" s="196" t="s">
        <v>102</v>
      </c>
      <c r="C31" s="148"/>
      <c r="D31" s="290" t="s">
        <v>99</v>
      </c>
      <c r="E31" s="331" t="n">
        <f>SUMIF($B$74:$B$84,E$8,$I$74:$I$84)</f>
        <v>0.0</v>
      </c>
      <c r="F31" s="331" t="n">
        <f t="shared" ref="F31:K31" si="7">SUMIF($B$74:$B$84,F$8,$I$74:$I$84)</f>
        <v>0.0</v>
      </c>
      <c r="G31" s="331" t="n">
        <f t="shared" si="7"/>
        <v>0.0</v>
      </c>
      <c r="H31" s="331" t="n">
        <f t="shared" si="7"/>
        <v>0.0</v>
      </c>
      <c r="I31" s="331" t="n">
        <f t="shared" si="7"/>
        <v>0.0</v>
      </c>
      <c r="J31" s="331" t="n">
        <f t="shared" si="7"/>
        <v>0.0</v>
      </c>
      <c r="K31" s="331" t="n">
        <f t="shared" si="7"/>
        <v>0.0</v>
      </c>
      <c r="L31" s="436"/>
      <c r="M31" s="322" t="n">
        <f t="shared" si="4"/>
        <v>0.0</v>
      </c>
      <c r="N31" s="113"/>
      <c r="P31" s="221" t="s">
        <v>131</v>
      </c>
      <c r="Q31" s="222"/>
      <c r="R31" s="223"/>
      <c r="S31" s="225" t="s">
        <v>132</v>
      </c>
      <c r="T31" s="224" t="s">
        <v>149</v>
      </c>
    </row>
    <row r="32" spans="2:22" s="89" customFormat="1" ht="20.399999999999999" customHeight="1" outlineLevel="3" thickTop="1">
      <c r="B32" s="153" t="s">
        <v>125</v>
      </c>
      <c r="C32" s="148"/>
      <c r="D32" s="290" t="s">
        <v>63</v>
      </c>
      <c r="E32" s="331" t="n">
        <f t="shared" ref="E32:K32" si="8">SUMIF($K$74:$K$84,E$8,$T$74:$T$84)</f>
        <v>0.0</v>
      </c>
      <c r="F32" s="331" t="n">
        <f t="shared" si="8"/>
        <v>0.0</v>
      </c>
      <c r="G32" s="331" t="n">
        <f t="shared" si="8"/>
        <v>0.0</v>
      </c>
      <c r="H32" s="331" t="n">
        <f t="shared" si="8"/>
        <v>0.0</v>
      </c>
      <c r="I32" s="331" t="n">
        <f t="shared" si="8"/>
        <v>0.0</v>
      </c>
      <c r="J32" s="331" t="n">
        <f t="shared" si="8"/>
        <v>0.0</v>
      </c>
      <c r="K32" s="331" t="n">
        <f t="shared" si="8"/>
        <v>0.0</v>
      </c>
      <c r="L32" s="436"/>
      <c r="M32" s="322" t="n">
        <f t="shared" si="4"/>
        <v>0.0</v>
      </c>
      <c r="N32" s="110"/>
      <c r="O32" s="114"/>
      <c r="P32" s="420" t="s">
        <v>152</v>
      </c>
      <c r="Q32" s="421"/>
      <c r="R32" s="428"/>
      <c r="S32" s="412" t="s">
        <v>153</v>
      </c>
      <c r="T32" s="413"/>
    </row>
    <row r="33" spans="2:22" s="89" customFormat="1" ht="20.399999999999999" customHeight="1" outlineLevel="2" thickBot="1">
      <c r="B33" s="154" t="s">
        <v>85</v>
      </c>
      <c r="C33" s="155"/>
      <c r="D33" s="282"/>
      <c r="E33" s="338" t="n">
        <f>SUM(E28:E32)-E31</f>
        <v>0.0</v>
      </c>
      <c r="F33" s="338" t="n">
        <f t="shared" ref="F33:K33" si="9">SUM(F28:F32)-F31</f>
        <v>0.0</v>
      </c>
      <c r="G33" s="338" t="n">
        <f t="shared" si="9"/>
        <v>0.0</v>
      </c>
      <c r="H33" s="338" t="n">
        <f t="shared" si="9"/>
        <v>0.0</v>
      </c>
      <c r="I33" s="338" t="n">
        <f t="shared" si="9"/>
        <v>0.0</v>
      </c>
      <c r="J33" s="338" t="n">
        <f t="shared" si="9"/>
        <v>0.0</v>
      </c>
      <c r="K33" s="338" t="n">
        <f t="shared" si="9"/>
        <v>0.0</v>
      </c>
      <c r="L33" s="437"/>
      <c r="M33" s="322" t="n">
        <f t="shared" si="4"/>
        <v>0.0</v>
      </c>
      <c r="N33" s="110"/>
      <c r="P33" s="425"/>
      <c r="Q33" s="426"/>
      <c r="R33" s="429"/>
      <c r="S33" s="414"/>
      <c r="T33" s="415"/>
    </row>
    <row r="34" spans="2:22" s="117" customFormat="1" ht="9.9" customHeight="1" outlineLevel="2" thickBot="1">
      <c r="B34" s="238"/>
      <c r="C34" s="238"/>
      <c r="D34" s="270"/>
      <c r="E34" s="238"/>
      <c r="F34" s="238"/>
      <c r="G34" s="238"/>
      <c r="H34" s="238"/>
      <c r="I34" s="238"/>
      <c r="J34" s="238"/>
      <c r="K34" s="238"/>
      <c r="L34" s="238"/>
      <c r="M34" s="323"/>
      <c r="N34" s="238"/>
      <c r="O34" s="238"/>
      <c r="P34" s="238"/>
      <c r="Q34" s="238"/>
      <c r="R34" s="238"/>
      <c r="S34" s="238"/>
      <c r="T34" s="238"/>
      <c r="V34" s="89"/>
    </row>
    <row r="35" spans="2:22" s="89" customFormat="1" ht="15.15" customHeight="1" outlineLevel="2" thickTop="1">
      <c r="B35" s="440" t="s">
        <v>34</v>
      </c>
      <c r="C35" s="441"/>
      <c r="D35" s="441"/>
      <c r="E35" s="441"/>
      <c r="F35" s="441"/>
      <c r="G35" s="441"/>
      <c r="H35" s="441"/>
      <c r="I35" s="441"/>
      <c r="J35" s="441"/>
      <c r="K35" s="441"/>
      <c r="L35" s="460"/>
      <c r="M35" s="438"/>
      <c r="N35" s="110"/>
      <c r="O35" s="114"/>
      <c r="P35" s="197" t="s">
        <v>23</v>
      </c>
      <c r="Q35" s="99" t="s">
        <v>24</v>
      </c>
      <c r="R35" s="99"/>
      <c r="S35" s="418" t="s">
        <v>143</v>
      </c>
      <c r="T35" s="419"/>
    </row>
    <row r="36" spans="2:22" s="89" customFormat="1" ht="20.85" customHeight="1" outlineLevel="2" thickBot="1">
      <c r="B36" s="442"/>
      <c r="C36" s="443"/>
      <c r="D36" s="443"/>
      <c r="E36" s="443"/>
      <c r="F36" s="443"/>
      <c r="G36" s="443"/>
      <c r="H36" s="443"/>
      <c r="I36" s="443"/>
      <c r="J36" s="443"/>
      <c r="K36" s="443"/>
      <c r="L36" s="461"/>
      <c r="M36" s="439"/>
      <c r="N36" s="113"/>
      <c r="O36" s="114"/>
      <c r="P36" s="118" t="s">
        <v>60</v>
      </c>
      <c r="Q36" s="266" t="s">
        <v>140</v>
      </c>
      <c r="R36" s="169"/>
      <c r="S36" s="416" t="n">
        <f>M17-N17</f>
        <v>0.0</v>
      </c>
      <c r="T36" s="417"/>
    </row>
    <row r="37" spans="2:22" s="89" customFormat="1" ht="19.5" customHeight="1" outlineLevel="3">
      <c r="B37" s="257" t="s">
        <v>136</v>
      </c>
      <c r="C37" s="258"/>
      <c r="D37" s="289"/>
      <c r="E37" s="331" t="n">
        <f>SUMIF($B$88:$B$98,E$8,$I$88:$I$98)</f>
        <v>0.0</v>
      </c>
      <c r="F37" s="331" t="n">
        <f t="shared" ref="F37:K37" si="10">SUMIF($B$88:$B$98,F$8,$I$88:$I$98)</f>
        <v>0.0</v>
      </c>
      <c r="G37" s="331" t="n">
        <f t="shared" si="10"/>
        <v>0.0</v>
      </c>
      <c r="H37" s="331" t="n">
        <f t="shared" si="10"/>
        <v>0.0</v>
      </c>
      <c r="I37" s="331" t="n">
        <f t="shared" si="10"/>
        <v>0.0</v>
      </c>
      <c r="J37" s="331" t="n">
        <f t="shared" si="10"/>
        <v>0.0</v>
      </c>
      <c r="K37" s="331" t="n">
        <f t="shared" si="10"/>
        <v>0.0</v>
      </c>
      <c r="L37" s="461"/>
      <c r="M37" s="322" t="n">
        <f>SUM(E37:L37)</f>
        <v>0.0</v>
      </c>
      <c r="N37" s="113"/>
      <c r="O37" s="114"/>
      <c r="P37" s="119" t="s">
        <v>61</v>
      </c>
      <c r="Q37" s="170" t="s">
        <v>14</v>
      </c>
      <c r="R37" s="171"/>
      <c r="S37" s="387" t="n">
        <f>+M19</f>
        <v>0.0</v>
      </c>
      <c r="T37" s="388"/>
    </row>
    <row r="38" spans="2:22" s="89" customFormat="1" ht="19.2" customHeight="1" outlineLevel="3">
      <c r="B38" s="135" t="s">
        <v>135</v>
      </c>
      <c r="C38" s="148"/>
      <c r="D38" s="290"/>
      <c r="E38" s="337"/>
      <c r="F38" s="337"/>
      <c r="G38" s="336"/>
      <c r="H38" s="337"/>
      <c r="I38" s="337"/>
      <c r="J38" s="336"/>
      <c r="K38" s="337"/>
      <c r="L38" s="461"/>
      <c r="M38" s="322" t="n">
        <f t="shared" ref="M38:M47" si="11">SUM(E38:L38)</f>
        <v>0.0</v>
      </c>
      <c r="N38" s="113"/>
      <c r="O38" s="114"/>
      <c r="P38" s="119" t="s">
        <v>62</v>
      </c>
      <c r="Q38" s="170" t="s">
        <v>25</v>
      </c>
      <c r="R38" s="171"/>
      <c r="S38" s="387" t="n">
        <f>+M24</f>
        <v>0.0</v>
      </c>
      <c r="T38" s="388"/>
    </row>
    <row r="39" spans="2:22" s="89" customFormat="1" ht="19.2" customHeight="1" outlineLevel="2">
      <c r="B39" s="15" t="s">
        <v>137</v>
      </c>
      <c r="C39" s="148"/>
      <c r="D39" s="290" t="s">
        <v>98</v>
      </c>
      <c r="E39" s="331" t="n">
        <f>E37+E38</f>
        <v>0.0</v>
      </c>
      <c r="F39" s="331" t="n">
        <f>F37+F38</f>
        <v>0.0</v>
      </c>
      <c r="G39" s="331" t="n">
        <f t="shared" ref="G39:K39" si="12">G37+G38</f>
        <v>0.0</v>
      </c>
      <c r="H39" s="331" t="n">
        <f t="shared" si="12"/>
        <v>0.0</v>
      </c>
      <c r="I39" s="331" t="n">
        <f t="shared" si="12"/>
        <v>0.0</v>
      </c>
      <c r="J39" s="331" t="n">
        <f t="shared" si="12"/>
        <v>0.0</v>
      </c>
      <c r="K39" s="331" t="n">
        <f t="shared" si="12"/>
        <v>0.0</v>
      </c>
      <c r="L39" s="461"/>
      <c r="M39" s="322" t="n">
        <f t="shared" si="11"/>
        <v>0.0</v>
      </c>
      <c r="N39" s="113"/>
      <c r="O39" s="114"/>
      <c r="P39" s="120" t="s">
        <v>62</v>
      </c>
      <c r="Q39" s="216" t="s">
        <v>118</v>
      </c>
      <c r="R39" s="212"/>
      <c r="S39" s="387" t="n">
        <f>+M26+M43</f>
        <v>0.0</v>
      </c>
      <c r="T39" s="388"/>
    </row>
    <row r="40" spans="2:22" s="89" customFormat="1" ht="3.3" customHeight="1" outlineLevel="2">
      <c r="B40" s="135"/>
      <c r="C40" s="148"/>
      <c r="D40" s="280"/>
      <c r="E40" s="333"/>
      <c r="F40" s="333"/>
      <c r="G40" s="333"/>
      <c r="H40" s="333"/>
      <c r="I40" s="333"/>
      <c r="J40" s="339"/>
      <c r="K40" s="333"/>
      <c r="L40" s="461"/>
      <c r="M40" s="322"/>
      <c r="N40" s="113"/>
      <c r="O40" s="114"/>
      <c r="P40" s="121"/>
      <c r="Q40" s="172"/>
      <c r="R40" s="173"/>
      <c r="S40" s="389" t="n">
        <f>+M33</f>
        <v>0.0</v>
      </c>
      <c r="T40" s="390"/>
    </row>
    <row r="41" spans="2:22" s="89" customFormat="1" ht="19.2" customHeight="1" outlineLevel="2">
      <c r="B41" s="153" t="s">
        <v>106</v>
      </c>
      <c r="C41" s="156"/>
      <c r="D41" s="291" t="s">
        <v>99</v>
      </c>
      <c r="E41" s="331" t="n">
        <f t="shared" ref="E41:K41" si="13">SUMIF($K$88:$K$98,E$8,$T$88:$T$98)</f>
        <v>0.0</v>
      </c>
      <c r="F41" s="331" t="n">
        <f t="shared" si="13"/>
        <v>0.0</v>
      </c>
      <c r="G41" s="331" t="n">
        <f t="shared" si="13"/>
        <v>0.0</v>
      </c>
      <c r="H41" s="331" t="n">
        <f t="shared" si="13"/>
        <v>0.0</v>
      </c>
      <c r="I41" s="331" t="n">
        <f t="shared" si="13"/>
        <v>0.0</v>
      </c>
      <c r="J41" s="331" t="n">
        <f t="shared" si="13"/>
        <v>0.0</v>
      </c>
      <c r="K41" s="331" t="n">
        <f t="shared" si="13"/>
        <v>0.0</v>
      </c>
      <c r="L41" s="461"/>
      <c r="M41" s="322" t="n">
        <f t="shared" si="11"/>
        <v>0.0</v>
      </c>
      <c r="N41" s="110"/>
      <c r="O41" s="92"/>
      <c r="P41" s="188" t="s">
        <v>63</v>
      </c>
      <c r="Q41" s="37" t="s">
        <v>38</v>
      </c>
      <c r="R41" s="174"/>
      <c r="S41" s="393"/>
      <c r="T41" s="394"/>
    </row>
    <row r="42" spans="2:22" s="89" customFormat="1" ht="3.3" customHeight="1" outlineLevel="2">
      <c r="B42" s="149"/>
      <c r="C42" s="152"/>
      <c r="D42" s="292"/>
      <c r="E42" s="333"/>
      <c r="F42" s="333"/>
      <c r="G42" s="333"/>
      <c r="H42" s="333"/>
      <c r="I42" s="333"/>
      <c r="J42" s="339"/>
      <c r="K42" s="333"/>
      <c r="L42" s="461"/>
      <c r="M42" s="322"/>
      <c r="N42" s="113"/>
      <c r="O42" s="92"/>
      <c r="P42" s="120"/>
      <c r="Q42" s="175"/>
      <c r="R42" s="176"/>
      <c r="S42" s="395"/>
      <c r="T42" s="396"/>
    </row>
    <row r="43" spans="2:22" s="89" customFormat="1" ht="19.2" customHeight="1" outlineLevel="2">
      <c r="B43" s="17" t="s">
        <v>111</v>
      </c>
      <c r="C43" s="157"/>
      <c r="D43" s="291" t="s">
        <v>62</v>
      </c>
      <c r="E43" s="331" t="n">
        <f t="shared" ref="E43:K43" si="14">SUMIF($B$103:$B$112,E$8,$T$103:$T$112)</f>
        <v>0.0</v>
      </c>
      <c r="F43" s="331" t="n">
        <f t="shared" si="14"/>
        <v>0.0</v>
      </c>
      <c r="G43" s="331" t="n">
        <f t="shared" si="14"/>
        <v>0.0</v>
      </c>
      <c r="H43" s="331" t="n">
        <f t="shared" si="14"/>
        <v>0.0</v>
      </c>
      <c r="I43" s="331" t="n">
        <f t="shared" si="14"/>
        <v>0.0</v>
      </c>
      <c r="J43" s="331" t="n">
        <f t="shared" si="14"/>
        <v>0.0</v>
      </c>
      <c r="K43" s="331" t="n">
        <f t="shared" si="14"/>
        <v>0.0</v>
      </c>
      <c r="L43" s="461"/>
      <c r="M43" s="322" t="n">
        <f t="shared" si="11"/>
        <v>0.0</v>
      </c>
      <c r="N43" s="113"/>
      <c r="O43" s="92"/>
      <c r="P43" s="120" t="s">
        <v>139</v>
      </c>
      <c r="Q43" s="175" t="s">
        <v>26</v>
      </c>
      <c r="R43" s="176"/>
      <c r="S43" s="387" t="n">
        <f>+M45</f>
        <v>0.0</v>
      </c>
      <c r="T43" s="388"/>
    </row>
    <row r="44" spans="2:22" s="89" customFormat="1" ht="3.3" customHeight="1" outlineLevel="2">
      <c r="B44" s="149"/>
      <c r="C44" s="152"/>
      <c r="D44" s="292"/>
      <c r="E44" s="335"/>
      <c r="F44" s="333"/>
      <c r="G44" s="340"/>
      <c r="H44" s="333"/>
      <c r="I44" s="332"/>
      <c r="J44" s="339"/>
      <c r="K44" s="333"/>
      <c r="L44" s="461"/>
      <c r="M44" s="322"/>
      <c r="N44" s="113"/>
      <c r="O44" s="92"/>
      <c r="P44" s="122"/>
      <c r="Q44" s="37"/>
      <c r="R44" s="174"/>
      <c r="S44" s="389" t="n">
        <f>M39</f>
        <v>0.0</v>
      </c>
      <c r="T44" s="397"/>
    </row>
    <row r="45" spans="2:22" s="89" customFormat="1" ht="19.2" customHeight="1" outlineLevel="2">
      <c r="B45" s="18" t="s">
        <v>112</v>
      </c>
      <c r="C45" s="158"/>
      <c r="D45" s="291" t="s">
        <v>139</v>
      </c>
      <c r="E45" s="341"/>
      <c r="F45" s="342"/>
      <c r="G45" s="342"/>
      <c r="H45" s="341"/>
      <c r="I45" s="343"/>
      <c r="J45" s="344"/>
      <c r="K45" s="341" t="n">
        <f>Telephone!C32</f>
        <v>0.0</v>
      </c>
      <c r="L45" s="461"/>
      <c r="M45" s="322" t="n">
        <f t="shared" si="11"/>
        <v>0.0</v>
      </c>
      <c r="N45" s="113"/>
      <c r="O45" s="92"/>
      <c r="P45" s="194" t="s">
        <v>98</v>
      </c>
      <c r="Q45" s="179" t="s">
        <v>121</v>
      </c>
      <c r="R45" s="174"/>
      <c r="S45" s="398"/>
      <c r="T45" s="399"/>
    </row>
    <row r="46" spans="2:22" s="89" customFormat="1" ht="3.3" customHeight="1" outlineLevel="2">
      <c r="B46" s="149"/>
      <c r="C46" s="152"/>
      <c r="D46" s="292"/>
      <c r="E46" s="345"/>
      <c r="F46" s="346"/>
      <c r="G46" s="346"/>
      <c r="H46" s="345"/>
      <c r="I46" s="347"/>
      <c r="J46" s="348"/>
      <c r="K46" s="345"/>
      <c r="L46" s="461"/>
      <c r="M46" s="322"/>
      <c r="N46" s="113"/>
      <c r="O46" s="92"/>
      <c r="P46" s="123"/>
      <c r="Q46" s="178"/>
      <c r="R46" s="176"/>
      <c r="S46" s="400"/>
      <c r="T46" s="401"/>
    </row>
    <row r="47" spans="2:22" s="89" customFormat="1" ht="19.2" customHeight="1" outlineLevel="2" thickBot="1">
      <c r="B47" s="16"/>
      <c r="C47" s="159"/>
      <c r="D47" s="283"/>
      <c r="E47" s="349"/>
      <c r="F47" s="350"/>
      <c r="G47" s="350"/>
      <c r="H47" s="349"/>
      <c r="I47" s="351"/>
      <c r="J47" s="352"/>
      <c r="K47" s="349"/>
      <c r="L47" s="461"/>
      <c r="M47" s="322" t="n">
        <f t="shared" si="11"/>
        <v>0.0</v>
      </c>
      <c r="N47" s="113"/>
      <c r="O47" s="92"/>
      <c r="P47" s="121" t="s">
        <v>99</v>
      </c>
      <c r="Q47" s="180" t="s">
        <v>37</v>
      </c>
      <c r="R47" s="181"/>
      <c r="S47" s="389" t="n">
        <f>M41+M31</f>
        <v>0.0</v>
      </c>
      <c r="T47" s="390"/>
    </row>
    <row r="48" spans="2:22" s="89" customFormat="1" ht="5.25" customHeight="1" outlineLevel="2" thickBot="1">
      <c r="B48" s="204"/>
      <c r="C48" s="92"/>
      <c r="D48" s="268"/>
      <c r="E48" s="205"/>
      <c r="F48" s="205"/>
      <c r="G48" s="205"/>
      <c r="H48" s="205"/>
      <c r="I48" s="205"/>
      <c r="J48" s="231"/>
      <c r="K48" s="206"/>
      <c r="L48" s="461"/>
      <c r="M48" s="324"/>
      <c r="N48" s="110"/>
      <c r="O48" s="92"/>
      <c r="P48" s="123"/>
      <c r="Q48" s="178"/>
      <c r="R48" s="176"/>
      <c r="S48" s="395"/>
      <c r="T48" s="396"/>
    </row>
    <row r="49" spans="1:24" s="89" customFormat="1" ht="19.2" customHeight="1" outlineLevel="2" thickBot="1">
      <c r="B49" s="124" t="s">
        <v>113</v>
      </c>
      <c r="C49" s="207"/>
      <c r="D49" s="312" t="s">
        <v>134</v>
      </c>
      <c r="E49" s="314" t="n">
        <f>SUMIF($B$116:$B$120,E$8,$T$116:$T$120)</f>
        <v>0.0</v>
      </c>
      <c r="F49" s="314" t="n">
        <f>SUMIF($B$116:$B$120,F$8,$T$116:$T$120)</f>
        <v>0.0</v>
      </c>
      <c r="G49" s="314" t="n">
        <f>SUMIF($B$116:$B$120,G$8,$T$116:$T$120)</f>
        <v>0.0</v>
      </c>
      <c r="H49" s="314" t="n">
        <f>SUMIF($B$116:$B$120,H$8,$T$116:$T$120)</f>
        <v>0.0</v>
      </c>
      <c r="I49" s="314" t="n">
        <f>SUMIF($B$116:$B$120,I$8,$T$116:$T$120)</f>
        <v>0.0</v>
      </c>
      <c r="J49" s="314" t="n">
        <f t="shared" ref="J49:K49" si="15">SUMIF($B$116:$B$120,J$8,$T$116:$T$120)</f>
        <v>0.0</v>
      </c>
      <c r="K49" s="314" t="n">
        <f t="shared" si="15"/>
        <v>0.0</v>
      </c>
      <c r="L49" s="462"/>
      <c r="M49" s="321" t="n">
        <f>SUM(E49:K49)</f>
        <v>0.0</v>
      </c>
      <c r="N49" s="362" t="n">
        <f>+N13+N17+N28+N30</f>
        <v>0.0</v>
      </c>
      <c r="O49" s="92"/>
      <c r="P49" s="236" t="s">
        <v>134</v>
      </c>
      <c r="Q49" s="182" t="s">
        <v>39</v>
      </c>
      <c r="R49" s="177"/>
      <c r="S49" s="389" t="n">
        <f>M49</f>
        <v>0.0</v>
      </c>
      <c r="T49" s="390"/>
    </row>
    <row r="50" spans="1:24" s="89" customFormat="1" ht="6.15" customHeight="1" outlineLevel="2" thickBot="1">
      <c r="B50" s="125"/>
      <c r="C50" s="125"/>
      <c r="D50" s="285"/>
      <c r="E50" s="187"/>
      <c r="F50" s="168"/>
      <c r="G50" s="168"/>
      <c r="H50" s="168"/>
      <c r="I50" s="168"/>
      <c r="J50" s="313"/>
      <c r="K50" s="168"/>
      <c r="L50" s="168"/>
      <c r="M50" s="325"/>
      <c r="N50" s="92"/>
      <c r="O50" s="92"/>
      <c r="P50" s="122"/>
      <c r="Q50" s="37"/>
      <c r="R50" s="174"/>
      <c r="S50" s="395"/>
      <c r="T50" s="396"/>
    </row>
    <row r="51" spans="1:24" s="89" customFormat="1" ht="19.2" customHeight="1" outlineLevel="1" thickBot="1">
      <c r="B51" s="126" t="s">
        <v>27</v>
      </c>
      <c r="C51" s="127"/>
      <c r="D51" s="284"/>
      <c r="E51" s="328" t="n">
        <f>+E15+E17+E19+E24+E26+E28+E30+E31+E32+E39+E41+E43+E45+E49</f>
        <v>0.0</v>
      </c>
      <c r="F51" s="328" t="n">
        <f t="shared" ref="F51:K51" si="16">+F15+F17+F19+F24+F26+F28+F30+F31+F32+F39+F41+F43+F45+F49</f>
        <v>0.0</v>
      </c>
      <c r="G51" s="328" t="n">
        <f t="shared" si="16"/>
        <v>0.0</v>
      </c>
      <c r="H51" s="328" t="n">
        <f t="shared" si="16"/>
        <v>0.0</v>
      </c>
      <c r="I51" s="328" t="n">
        <f t="shared" si="16"/>
        <v>0.0</v>
      </c>
      <c r="J51" s="328" t="n">
        <f t="shared" si="16"/>
        <v>0.0</v>
      </c>
      <c r="K51" s="328" t="n">
        <f t="shared" si="16"/>
        <v>0.0</v>
      </c>
      <c r="L51" s="195" t="n">
        <f>+L49</f>
        <v>0.0</v>
      </c>
      <c r="M51" s="326" t="n">
        <f>+M49+M47+M45+M43+M41+M39+M33+M26+M24+M19+M17+M15+M31</f>
        <v>0.0</v>
      </c>
      <c r="N51" s="92"/>
      <c r="P51" s="119"/>
      <c r="Q51" s="183"/>
      <c r="R51" s="171"/>
      <c r="S51" s="387"/>
      <c r="T51" s="388"/>
    </row>
    <row r="52" spans="1:24" s="89" customFormat="1" ht="6.15" customHeight="1" outlineLevel="1">
      <c r="D52" s="286"/>
      <c r="M52" s="327"/>
      <c r="P52" s="128"/>
      <c r="Q52" s="37"/>
      <c r="R52" s="174"/>
      <c r="S52" s="389" t="n">
        <f>M14</f>
        <v>0.0</v>
      </c>
      <c r="T52" s="390"/>
    </row>
    <row r="53" spans="1:24" s="89" customFormat="1" ht="15.15" customHeight="1" outlineLevel="1" thickBot="1">
      <c r="D53" s="286"/>
      <c r="M53" s="327"/>
      <c r="P53" s="189" t="s">
        <v>59</v>
      </c>
      <c r="Q53" s="404" t="s">
        <v>66</v>
      </c>
      <c r="R53" s="405"/>
      <c r="S53" s="391"/>
      <c r="T53" s="392"/>
    </row>
    <row r="54" spans="1:24" s="89" customFormat="1" ht="13.2" thickBot="1">
      <c r="D54" s="286"/>
      <c r="K54" s="463" t="str">
        <f>IF(M54&lt;&gt;0,"ERROR","OK")</f>
        <v>ERROR</v>
      </c>
      <c r="L54" s="464"/>
      <c r="M54" s="469" t="n">
        <f>(T71+I85+T85+T99+I99+T113+T121)-(M26+M31+M32+M37+M41+M43+M49)</f>
        <v>50.0</v>
      </c>
      <c r="P54" s="129" t="s">
        <v>5</v>
      </c>
      <c r="Q54" s="130"/>
      <c r="R54" s="131"/>
      <c r="S54" s="484" t="n">
        <f>SUM(S36:S53)</f>
        <v>0.0</v>
      </c>
      <c r="T54" s="485"/>
      <c r="V54" s="5"/>
    </row>
    <row r="55" spans="1:24" s="89" customFormat="1" ht="18" customHeight="1" thickTop="1">
      <c r="D55" s="286"/>
      <c r="K55" s="465"/>
      <c r="L55" s="466"/>
      <c r="M55" s="470"/>
      <c r="P55" s="213"/>
      <c r="Q55" s="134"/>
      <c r="R55" s="92"/>
      <c r="S55" s="214"/>
      <c r="T55" s="215"/>
      <c r="V55" s="84"/>
      <c r="W55" s="84"/>
    </row>
    <row r="56" spans="1:24" s="89" customFormat="1" ht="16.350000000000001" customHeight="1">
      <c r="B56" s="132" t="s">
        <v>28</v>
      </c>
      <c r="C56" s="92"/>
      <c r="D56" s="268"/>
      <c r="E56" s="92"/>
      <c r="F56" s="92"/>
      <c r="G56" s="92"/>
      <c r="H56" s="92"/>
      <c r="I56" s="92"/>
      <c r="J56" s="92"/>
      <c r="K56" s="467"/>
      <c r="L56" s="468"/>
      <c r="M56" s="471"/>
      <c r="P56" s="92"/>
      <c r="Q56" s="92"/>
      <c r="R56" s="92"/>
      <c r="S56" s="133"/>
      <c r="T56" s="133"/>
      <c r="V56" s="84"/>
      <c r="W56" s="84"/>
      <c r="X56" s="5"/>
    </row>
    <row r="57" spans="1:24" s="89" customFormat="1" ht="16.95" customHeight="1">
      <c r="B57" s="132" t="s">
        <v>117</v>
      </c>
      <c r="C57" s="92"/>
      <c r="D57" s="268"/>
      <c r="E57" s="92"/>
      <c r="F57" s="92"/>
      <c r="G57" s="92"/>
      <c r="H57" s="92"/>
      <c r="I57" s="92"/>
      <c r="J57" s="92"/>
      <c r="K57" s="92"/>
      <c r="L57" s="92"/>
      <c r="M57" s="92"/>
      <c r="P57" s="134"/>
      <c r="Q57" s="499"/>
      <c r="R57" s="499"/>
      <c r="S57" s="498"/>
      <c r="T57" s="498"/>
      <c r="V57" s="84"/>
      <c r="W57" s="84"/>
      <c r="X57" s="84"/>
    </row>
    <row r="58" spans="1:24" s="89" customFormat="1" ht="11.7" customHeight="1">
      <c r="B58" s="132"/>
      <c r="C58" s="92"/>
      <c r="D58" s="268"/>
      <c r="E58" s="92"/>
      <c r="F58" s="92"/>
      <c r="G58" s="92"/>
      <c r="H58" s="92"/>
      <c r="I58" s="92"/>
      <c r="J58" s="92"/>
      <c r="K58" s="240"/>
      <c r="L58" s="240"/>
      <c r="M58" s="265"/>
      <c r="P58" s="92"/>
      <c r="Q58" s="92"/>
      <c r="R58" s="92"/>
      <c r="S58" s="133"/>
      <c r="T58" s="133"/>
      <c r="V58" s="84"/>
      <c r="W58" s="84"/>
      <c r="X58" s="5"/>
    </row>
    <row r="59" spans="1:24" ht="13.2" customHeight="1" thickBot="1">
      <c r="A59" s="3"/>
      <c r="B59" s="3"/>
      <c r="C59" s="3"/>
      <c r="D59" s="272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V59" s="84"/>
      <c r="W59" s="84"/>
    </row>
    <row r="60" spans="1:24" s="84" customFormat="1" ht="14.4" customHeight="1">
      <c r="A60" s="191"/>
      <c r="B60" s="486" t="s">
        <v>129</v>
      </c>
      <c r="C60" s="487"/>
      <c r="D60" s="487"/>
      <c r="E60" s="487"/>
      <c r="F60" s="487"/>
      <c r="G60" s="487"/>
      <c r="H60" s="487"/>
      <c r="I60" s="487"/>
      <c r="J60" s="487"/>
      <c r="K60" s="487"/>
      <c r="L60" s="487"/>
      <c r="M60" s="487"/>
      <c r="N60" s="487"/>
      <c r="O60" s="487"/>
      <c r="P60" s="487"/>
      <c r="Q60" s="487"/>
      <c r="R60" s="487"/>
      <c r="S60" s="487"/>
      <c r="T60" s="488"/>
    </row>
    <row r="61" spans="1:24" s="84" customFormat="1" ht="17.399999999999999" customHeight="1">
      <c r="A61" s="191"/>
      <c r="B61" s="252" t="s">
        <v>29</v>
      </c>
      <c r="C61" s="253" t="s">
        <v>91</v>
      </c>
      <c r="D61" s="479"/>
      <c r="E61" s="479"/>
      <c r="F61" s="479"/>
      <c r="G61" s="479"/>
      <c r="H61" s="479"/>
      <c r="I61" s="479"/>
      <c r="J61" s="479"/>
      <c r="K61" s="479"/>
      <c r="L61" s="479"/>
      <c r="M61" s="480"/>
      <c r="N61" s="478" t="s">
        <v>53</v>
      </c>
      <c r="O61" s="479"/>
      <c r="P61" s="479"/>
      <c r="Q61" s="479"/>
      <c r="R61" s="479"/>
      <c r="S61" s="480"/>
      <c r="T61" s="254" t="s">
        <v>30</v>
      </c>
    </row>
    <row r="62" spans="1:24" s="84" customFormat="1" ht="14.1" customHeight="1">
      <c r="A62" s="191"/>
      <c r="B62" s="1"/>
      <c r="C62" s="217"/>
      <c r="D62" s="500"/>
      <c r="E62" s="500"/>
      <c r="F62" s="500"/>
      <c r="G62" s="500"/>
      <c r="H62" s="500"/>
      <c r="I62" s="500"/>
      <c r="J62" s="500"/>
      <c r="K62" s="500"/>
      <c r="L62" s="500"/>
      <c r="M62" s="501"/>
      <c r="N62" s="489"/>
      <c r="O62" s="490"/>
      <c r="P62" s="490"/>
      <c r="Q62" s="490"/>
      <c r="R62" s="490"/>
      <c r="S62" s="491"/>
      <c r="T62" s="353"/>
    </row>
    <row r="63" spans="1:24" s="84" customFormat="1" ht="14.1" customHeight="1">
      <c r="A63" s="191"/>
      <c r="B63" s="1"/>
      <c r="C63" s="219"/>
      <c r="D63" s="379"/>
      <c r="E63" s="379"/>
      <c r="F63" s="379"/>
      <c r="G63" s="379"/>
      <c r="H63" s="379"/>
      <c r="I63" s="379"/>
      <c r="J63" s="379"/>
      <c r="K63" s="379"/>
      <c r="L63" s="379"/>
      <c r="M63" s="380"/>
      <c r="N63" s="492"/>
      <c r="O63" s="493"/>
      <c r="P63" s="493"/>
      <c r="Q63" s="493"/>
      <c r="R63" s="493"/>
      <c r="S63" s="494"/>
      <c r="T63" s="353"/>
    </row>
    <row r="64" spans="1:24" s="84" customFormat="1" ht="14.1" customHeight="1">
      <c r="A64" s="191"/>
      <c r="B64" s="1"/>
      <c r="C64" s="219"/>
      <c r="D64" s="379"/>
      <c r="E64" s="379"/>
      <c r="F64" s="379"/>
      <c r="G64" s="379"/>
      <c r="H64" s="379"/>
      <c r="I64" s="379"/>
      <c r="J64" s="379"/>
      <c r="K64" s="379"/>
      <c r="L64" s="379"/>
      <c r="M64" s="380"/>
      <c r="N64" s="492"/>
      <c r="O64" s="493"/>
      <c r="P64" s="493"/>
      <c r="Q64" s="493"/>
      <c r="R64" s="493"/>
      <c r="S64" s="494"/>
      <c r="T64" s="353"/>
    </row>
    <row r="65" spans="1:20" s="84" customFormat="1" ht="14.1" customHeight="1">
      <c r="A65" s="191"/>
      <c r="B65" s="1"/>
      <c r="C65" s="219"/>
      <c r="D65" s="379"/>
      <c r="E65" s="379"/>
      <c r="F65" s="379"/>
      <c r="G65" s="379"/>
      <c r="H65" s="379"/>
      <c r="I65" s="379"/>
      <c r="J65" s="379"/>
      <c r="K65" s="379"/>
      <c r="L65" s="379"/>
      <c r="M65" s="380"/>
      <c r="N65" s="492"/>
      <c r="O65" s="493"/>
      <c r="P65" s="493"/>
      <c r="Q65" s="493"/>
      <c r="R65" s="493"/>
      <c r="S65" s="494"/>
      <c r="T65" s="353"/>
    </row>
    <row r="66" spans="1:20" s="84" customFormat="1" ht="14.1" customHeight="1">
      <c r="A66" s="191"/>
      <c r="B66" s="1"/>
      <c r="C66" s="219"/>
      <c r="D66" s="379"/>
      <c r="E66" s="379"/>
      <c r="F66" s="379"/>
      <c r="G66" s="379"/>
      <c r="H66" s="379"/>
      <c r="I66" s="379"/>
      <c r="J66" s="379"/>
      <c r="K66" s="379"/>
      <c r="L66" s="379"/>
      <c r="M66" s="380"/>
      <c r="N66" s="492"/>
      <c r="O66" s="493"/>
      <c r="P66" s="493"/>
      <c r="Q66" s="493"/>
      <c r="R66" s="493"/>
      <c r="S66" s="494"/>
      <c r="T66" s="353"/>
    </row>
    <row r="67" spans="1:20" s="84" customFormat="1" ht="14.1" customHeight="1">
      <c r="A67" s="191"/>
      <c r="B67" s="1"/>
      <c r="C67" s="219"/>
      <c r="D67" s="379"/>
      <c r="E67" s="379"/>
      <c r="F67" s="379"/>
      <c r="G67" s="379"/>
      <c r="H67" s="379"/>
      <c r="I67" s="379"/>
      <c r="J67" s="379"/>
      <c r="K67" s="379"/>
      <c r="L67" s="379"/>
      <c r="M67" s="380"/>
      <c r="N67" s="492"/>
      <c r="O67" s="493"/>
      <c r="P67" s="493"/>
      <c r="Q67" s="493"/>
      <c r="R67" s="493"/>
      <c r="S67" s="494"/>
      <c r="T67" s="353"/>
    </row>
    <row r="68" spans="1:20" s="84" customFormat="1" ht="14.1" customHeight="1">
      <c r="A68" s="191"/>
      <c r="B68" s="1"/>
      <c r="C68" s="219"/>
      <c r="D68" s="379"/>
      <c r="E68" s="379"/>
      <c r="F68" s="379"/>
      <c r="G68" s="379"/>
      <c r="H68" s="379"/>
      <c r="I68" s="379"/>
      <c r="J68" s="379"/>
      <c r="K68" s="379"/>
      <c r="L68" s="379"/>
      <c r="M68" s="380"/>
      <c r="N68" s="492"/>
      <c r="O68" s="493"/>
      <c r="P68" s="493"/>
      <c r="Q68" s="493"/>
      <c r="R68" s="493"/>
      <c r="S68" s="494"/>
      <c r="T68" s="353"/>
    </row>
    <row r="69" spans="1:20" s="84" customFormat="1" ht="14.1" customHeight="1">
      <c r="A69" s="191"/>
      <c r="B69" s="1"/>
      <c r="C69" s="219"/>
      <c r="D69" s="379"/>
      <c r="E69" s="379"/>
      <c r="F69" s="379"/>
      <c r="G69" s="379"/>
      <c r="H69" s="379"/>
      <c r="I69" s="379"/>
      <c r="J69" s="379"/>
      <c r="K69" s="379"/>
      <c r="L69" s="379"/>
      <c r="M69" s="380"/>
      <c r="N69" s="492"/>
      <c r="O69" s="493"/>
      <c r="P69" s="493"/>
      <c r="Q69" s="493"/>
      <c r="R69" s="493"/>
      <c r="S69" s="494"/>
      <c r="T69" s="353"/>
    </row>
    <row r="70" spans="1:20" s="84" customFormat="1" ht="14.1" customHeight="1">
      <c r="A70" s="191"/>
      <c r="B70" s="1"/>
      <c r="C70" s="220"/>
      <c r="D70" s="512"/>
      <c r="E70" s="512"/>
      <c r="F70" s="512"/>
      <c r="G70" s="512"/>
      <c r="H70" s="512"/>
      <c r="I70" s="512"/>
      <c r="J70" s="512"/>
      <c r="K70" s="512"/>
      <c r="L70" s="512"/>
      <c r="M70" s="513"/>
      <c r="N70" s="492"/>
      <c r="O70" s="493"/>
      <c r="P70" s="493"/>
      <c r="Q70" s="493"/>
      <c r="R70" s="493"/>
      <c r="S70" s="494"/>
      <c r="T70" s="353"/>
    </row>
    <row r="71" spans="1:20" s="84" customFormat="1" ht="14.25" customHeight="1" thickBot="1">
      <c r="A71" s="191"/>
      <c r="B71" s="505" t="s">
        <v>5</v>
      </c>
      <c r="C71" s="506"/>
      <c r="D71" s="506"/>
      <c r="E71" s="506"/>
      <c r="F71" s="506"/>
      <c r="G71" s="506"/>
      <c r="H71" s="506"/>
      <c r="I71" s="506"/>
      <c r="J71" s="506"/>
      <c r="K71" s="506"/>
      <c r="L71" s="506"/>
      <c r="M71" s="506"/>
      <c r="N71" s="506"/>
      <c r="O71" s="506"/>
      <c r="P71" s="506"/>
      <c r="Q71" s="506"/>
      <c r="R71" s="506"/>
      <c r="S71" s="239"/>
      <c r="T71" s="190" t="n">
        <f>SUM(T62:T70)</f>
        <v>0.0</v>
      </c>
    </row>
    <row r="72" spans="1:20" s="84" customFormat="1" ht="11.7" customHeight="1" thickBot="1">
      <c r="A72" s="191"/>
      <c r="B72" s="87"/>
      <c r="C72" s="80"/>
      <c r="D72" s="271"/>
      <c r="E72" s="80"/>
      <c r="F72" s="80"/>
      <c r="G72" s="80"/>
      <c r="H72" s="80"/>
      <c r="I72" s="80"/>
      <c r="J72" s="80"/>
      <c r="K72" s="247"/>
      <c r="L72" s="80"/>
      <c r="M72" s="80"/>
      <c r="N72" s="80"/>
      <c r="O72" s="80"/>
      <c r="P72" s="80"/>
      <c r="Q72" s="80"/>
      <c r="R72" s="80"/>
      <c r="S72" s="80"/>
      <c r="T72" s="80"/>
    </row>
    <row r="73" spans="1:20" s="84" customFormat="1" ht="14.4" customHeight="1">
      <c r="A73" s="191"/>
      <c r="B73" s="250" t="s">
        <v>29</v>
      </c>
      <c r="C73" s="293" t="s">
        <v>126</v>
      </c>
      <c r="D73" s="294"/>
      <c r="E73" s="294"/>
      <c r="F73" s="294"/>
      <c r="G73" s="294"/>
      <c r="H73" s="294"/>
      <c r="I73" s="251" t="s">
        <v>30</v>
      </c>
      <c r="J73" s="242"/>
      <c r="K73" s="192" t="s">
        <v>29</v>
      </c>
      <c r="L73" s="507" t="s">
        <v>127</v>
      </c>
      <c r="M73" s="377"/>
      <c r="N73" s="377"/>
      <c r="O73" s="377"/>
      <c r="P73" s="377"/>
      <c r="Q73" s="377"/>
      <c r="R73" s="377"/>
      <c r="S73" s="508"/>
      <c r="T73" s="82" t="s">
        <v>30</v>
      </c>
    </row>
    <row r="74" spans="1:20" s="84" customFormat="1" ht="14.1" customHeight="1">
      <c r="A74" s="191"/>
      <c r="B74" s="1"/>
      <c r="C74" s="295"/>
      <c r="D74" s="296"/>
      <c r="E74" s="296"/>
      <c r="F74" s="296"/>
      <c r="G74" s="296"/>
      <c r="H74" s="303"/>
      <c r="I74" s="353"/>
      <c r="J74" s="243"/>
      <c r="K74" s="1"/>
      <c r="L74" s="509"/>
      <c r="M74" s="510"/>
      <c r="N74" s="510"/>
      <c r="O74" s="510"/>
      <c r="P74" s="510"/>
      <c r="Q74" s="510"/>
      <c r="R74" s="510"/>
      <c r="S74" s="511"/>
      <c r="T74" s="353"/>
    </row>
    <row r="75" spans="1:20" s="84" customFormat="1" ht="14.1" customHeight="1">
      <c r="A75" s="191"/>
      <c r="B75" s="1"/>
      <c r="C75" s="297"/>
      <c r="D75" s="298"/>
      <c r="E75" s="298"/>
      <c r="F75" s="298"/>
      <c r="G75" s="298"/>
      <c r="H75" s="304"/>
      <c r="I75" s="353"/>
      <c r="J75" s="243"/>
      <c r="K75" s="1"/>
      <c r="L75" s="502"/>
      <c r="M75" s="503"/>
      <c r="N75" s="503"/>
      <c r="O75" s="503"/>
      <c r="P75" s="503"/>
      <c r="Q75" s="503"/>
      <c r="R75" s="503"/>
      <c r="S75" s="504"/>
      <c r="T75" s="353"/>
    </row>
    <row r="76" spans="1:20" s="84" customFormat="1" ht="14.1" customHeight="1">
      <c r="A76" s="191"/>
      <c r="B76" s="1"/>
      <c r="C76" s="297"/>
      <c r="D76" s="298"/>
      <c r="E76" s="298"/>
      <c r="F76" s="298"/>
      <c r="G76" s="298"/>
      <c r="H76" s="304"/>
      <c r="I76" s="353"/>
      <c r="J76" s="243"/>
      <c r="K76" s="1"/>
      <c r="L76" s="502"/>
      <c r="M76" s="503"/>
      <c r="N76" s="503"/>
      <c r="O76" s="503"/>
      <c r="P76" s="503"/>
      <c r="Q76" s="503"/>
      <c r="R76" s="503"/>
      <c r="S76" s="504"/>
      <c r="T76" s="353"/>
    </row>
    <row r="77" spans="1:20" s="84" customFormat="1" ht="14.1" customHeight="1">
      <c r="A77" s="191"/>
      <c r="B77" s="1"/>
      <c r="C77" s="297"/>
      <c r="D77" s="298"/>
      <c r="E77" s="298"/>
      <c r="F77" s="298"/>
      <c r="G77" s="298"/>
      <c r="H77" s="304"/>
      <c r="I77" s="353"/>
      <c r="J77" s="243"/>
      <c r="K77" s="1"/>
      <c r="L77" s="502"/>
      <c r="M77" s="503"/>
      <c r="N77" s="503"/>
      <c r="O77" s="503"/>
      <c r="P77" s="503"/>
      <c r="Q77" s="503"/>
      <c r="R77" s="503"/>
      <c r="S77" s="504"/>
      <c r="T77" s="353"/>
    </row>
    <row r="78" spans="1:20" s="84" customFormat="1" ht="14.1" customHeight="1">
      <c r="A78" s="191"/>
      <c r="B78" s="1"/>
      <c r="C78" s="297"/>
      <c r="D78" s="298"/>
      <c r="E78" s="298"/>
      <c r="F78" s="298"/>
      <c r="G78" s="298"/>
      <c r="H78" s="304"/>
      <c r="I78" s="353"/>
      <c r="J78" s="243"/>
      <c r="K78" s="1"/>
      <c r="L78" s="502"/>
      <c r="M78" s="503"/>
      <c r="N78" s="503"/>
      <c r="O78" s="503"/>
      <c r="P78" s="503"/>
      <c r="Q78" s="503"/>
      <c r="R78" s="503"/>
      <c r="S78" s="504"/>
      <c r="T78" s="353"/>
    </row>
    <row r="79" spans="1:20" s="84" customFormat="1" ht="14.1" customHeight="1">
      <c r="A79" s="191"/>
      <c r="B79" s="1"/>
      <c r="C79" s="297"/>
      <c r="D79" s="298"/>
      <c r="E79" s="298"/>
      <c r="F79" s="298"/>
      <c r="G79" s="298"/>
      <c r="H79" s="304"/>
      <c r="I79" s="353"/>
      <c r="J79" s="243"/>
      <c r="K79" s="1"/>
      <c r="L79" s="502"/>
      <c r="M79" s="503"/>
      <c r="N79" s="503"/>
      <c r="O79" s="503"/>
      <c r="P79" s="503"/>
      <c r="Q79" s="503"/>
      <c r="R79" s="503"/>
      <c r="S79" s="504"/>
      <c r="T79" s="353"/>
    </row>
    <row r="80" spans="1:20" s="84" customFormat="1" ht="14.1" customHeight="1">
      <c r="A80" s="191"/>
      <c r="B80" s="1"/>
      <c r="C80" s="297"/>
      <c r="D80" s="298"/>
      <c r="E80" s="298"/>
      <c r="F80" s="298"/>
      <c r="G80" s="298"/>
      <c r="H80" s="304"/>
      <c r="I80" s="353"/>
      <c r="J80" s="243"/>
      <c r="K80" s="1"/>
      <c r="L80" s="502"/>
      <c r="M80" s="503"/>
      <c r="N80" s="503"/>
      <c r="O80" s="503"/>
      <c r="P80" s="503"/>
      <c r="Q80" s="503"/>
      <c r="R80" s="503"/>
      <c r="S80" s="504"/>
      <c r="T80" s="353"/>
    </row>
    <row r="81" spans="1:21" s="84" customFormat="1" ht="14.1" customHeight="1">
      <c r="A81" s="191"/>
      <c r="B81" s="1"/>
      <c r="C81" s="297"/>
      <c r="D81" s="298"/>
      <c r="E81" s="298"/>
      <c r="F81" s="298"/>
      <c r="G81" s="298"/>
      <c r="H81" s="304"/>
      <c r="I81" s="353"/>
      <c r="J81" s="243"/>
      <c r="K81" s="1"/>
      <c r="L81" s="502"/>
      <c r="M81" s="503"/>
      <c r="N81" s="503"/>
      <c r="O81" s="503"/>
      <c r="P81" s="503"/>
      <c r="Q81" s="503"/>
      <c r="R81" s="503"/>
      <c r="S81" s="504"/>
      <c r="T81" s="353"/>
    </row>
    <row r="82" spans="1:21" s="84" customFormat="1" ht="14.1" customHeight="1">
      <c r="A82" s="191"/>
      <c r="B82" s="1"/>
      <c r="C82" s="297"/>
      <c r="D82" s="298"/>
      <c r="E82" s="298"/>
      <c r="F82" s="298"/>
      <c r="G82" s="298"/>
      <c r="H82" s="304"/>
      <c r="I82" s="353"/>
      <c r="J82" s="243"/>
      <c r="K82" s="1"/>
      <c r="L82" s="502"/>
      <c r="M82" s="503"/>
      <c r="N82" s="503"/>
      <c r="O82" s="503"/>
      <c r="P82" s="503"/>
      <c r="Q82" s="503"/>
      <c r="R82" s="503"/>
      <c r="S82" s="504"/>
      <c r="T82" s="353"/>
    </row>
    <row r="83" spans="1:21" s="84" customFormat="1" ht="14.1" customHeight="1">
      <c r="A83" s="191"/>
      <c r="B83" s="1"/>
      <c r="C83" s="297"/>
      <c r="D83" s="298"/>
      <c r="E83" s="298"/>
      <c r="F83" s="298"/>
      <c r="G83" s="298"/>
      <c r="H83" s="304"/>
      <c r="I83" s="353"/>
      <c r="J83" s="243"/>
      <c r="K83" s="1"/>
      <c r="L83" s="502"/>
      <c r="M83" s="503"/>
      <c r="N83" s="503"/>
      <c r="O83" s="503"/>
      <c r="P83" s="503"/>
      <c r="Q83" s="503"/>
      <c r="R83" s="503"/>
      <c r="S83" s="504"/>
      <c r="T83" s="353"/>
    </row>
    <row r="84" spans="1:21" s="84" customFormat="1" ht="14.1" customHeight="1">
      <c r="A84" s="191"/>
      <c r="B84" s="1"/>
      <c r="C84" s="299"/>
      <c r="D84" s="300"/>
      <c r="E84" s="300"/>
      <c r="F84" s="300"/>
      <c r="G84" s="300"/>
      <c r="H84" s="305"/>
      <c r="I84" s="353"/>
      <c r="J84" s="243"/>
      <c r="K84" s="1"/>
      <c r="L84" s="514"/>
      <c r="M84" s="515"/>
      <c r="N84" s="515"/>
      <c r="O84" s="515"/>
      <c r="P84" s="515"/>
      <c r="Q84" s="515"/>
      <c r="R84" s="515"/>
      <c r="S84" s="516"/>
      <c r="T84" s="353"/>
    </row>
    <row r="85" spans="1:21" s="84" customFormat="1" ht="13.2" thickBot="1">
      <c r="A85" s="191"/>
      <c r="B85" s="505" t="s">
        <v>5</v>
      </c>
      <c r="C85" s="506"/>
      <c r="D85" s="506"/>
      <c r="E85" s="506"/>
      <c r="F85" s="506"/>
      <c r="G85" s="506"/>
      <c r="H85" s="506"/>
      <c r="I85" s="21" t="n">
        <f>SUM(I74:I84)</f>
        <v>0.0</v>
      </c>
      <c r="J85" s="243"/>
      <c r="K85" s="505" t="s">
        <v>5</v>
      </c>
      <c r="L85" s="506"/>
      <c r="M85" s="506"/>
      <c r="N85" s="506"/>
      <c r="O85" s="506"/>
      <c r="P85" s="506"/>
      <c r="Q85" s="506"/>
      <c r="R85" s="506"/>
      <c r="S85" s="517"/>
      <c r="T85" s="264" t="n">
        <f>SUM(T74:T84)</f>
        <v>0.0</v>
      </c>
      <c r="U85" s="191"/>
    </row>
    <row r="86" spans="1:21" s="84" customFormat="1" ht="13.2" thickBot="1">
      <c r="A86" s="191"/>
      <c r="B86" s="245"/>
      <c r="C86" s="79"/>
      <c r="D86" s="271"/>
      <c r="E86" s="79"/>
      <c r="F86" s="79"/>
      <c r="G86" s="79"/>
      <c r="H86" s="79"/>
      <c r="I86" s="79"/>
      <c r="J86" s="246"/>
      <c r="K86" s="244"/>
      <c r="L86" s="86"/>
      <c r="M86" s="79"/>
      <c r="N86" s="79"/>
      <c r="O86" s="79"/>
      <c r="P86" s="79"/>
      <c r="Q86" s="79"/>
      <c r="R86" s="79"/>
      <c r="S86" s="79"/>
      <c r="T86" s="79"/>
      <c r="U86" s="191"/>
    </row>
    <row r="87" spans="1:21" s="84" customFormat="1" ht="14.4" customHeight="1">
      <c r="A87" s="191"/>
      <c r="B87" s="192" t="s">
        <v>29</v>
      </c>
      <c r="C87" s="301" t="s">
        <v>128</v>
      </c>
      <c r="D87" s="302"/>
      <c r="E87" s="302"/>
      <c r="F87" s="302"/>
      <c r="G87" s="302"/>
      <c r="H87" s="184" t="s">
        <v>86</v>
      </c>
      <c r="I87" s="309" t="s">
        <v>30</v>
      </c>
      <c r="J87" s="243"/>
      <c r="K87" s="192" t="s">
        <v>29</v>
      </c>
      <c r="L87" s="507" t="s">
        <v>107</v>
      </c>
      <c r="M87" s="377"/>
      <c r="N87" s="377"/>
      <c r="O87" s="377"/>
      <c r="P87" s="377"/>
      <c r="Q87" s="377"/>
      <c r="R87" s="377"/>
      <c r="S87" s="508"/>
      <c r="T87" s="82" t="s">
        <v>30</v>
      </c>
      <c r="U87" s="191"/>
    </row>
    <row r="88" spans="1:21" s="84" customFormat="1" ht="14.1" customHeight="1">
      <c r="A88" s="191"/>
      <c r="B88" s="1"/>
      <c r="C88" s="295"/>
      <c r="D88" s="296"/>
      <c r="E88" s="296"/>
      <c r="F88" s="296"/>
      <c r="G88" s="296"/>
      <c r="H88" s="306"/>
      <c r="I88" s="354"/>
      <c r="J88" s="243"/>
      <c r="K88" s="1"/>
      <c r="L88" s="518"/>
      <c r="M88" s="519"/>
      <c r="N88" s="519"/>
      <c r="O88" s="519"/>
      <c r="P88" s="519"/>
      <c r="Q88" s="519"/>
      <c r="R88" s="519"/>
      <c r="S88" s="519"/>
      <c r="T88" s="357"/>
      <c r="U88" s="191"/>
    </row>
    <row r="89" spans="1:21" s="84" customFormat="1" ht="14.1" customHeight="1">
      <c r="A89" s="191"/>
      <c r="B89" s="1"/>
      <c r="C89" s="297"/>
      <c r="D89" s="298"/>
      <c r="E89" s="298"/>
      <c r="F89" s="298"/>
      <c r="G89" s="298"/>
      <c r="H89" s="307"/>
      <c r="I89" s="355"/>
      <c r="J89" s="243"/>
      <c r="K89" s="1"/>
      <c r="L89" s="520"/>
      <c r="M89" s="521"/>
      <c r="N89" s="521"/>
      <c r="O89" s="521"/>
      <c r="P89" s="521"/>
      <c r="Q89" s="521"/>
      <c r="R89" s="521"/>
      <c r="S89" s="521"/>
      <c r="T89" s="358"/>
      <c r="U89" s="191"/>
    </row>
    <row r="90" spans="1:21" s="84" customFormat="1" ht="14.1" customHeight="1">
      <c r="A90" s="191"/>
      <c r="B90" s="1"/>
      <c r="C90" s="297"/>
      <c r="D90" s="298"/>
      <c r="E90" s="298"/>
      <c r="F90" s="298"/>
      <c r="G90" s="298"/>
      <c r="H90" s="307"/>
      <c r="I90" s="355"/>
      <c r="J90" s="243"/>
      <c r="K90" s="1"/>
      <c r="L90" s="520"/>
      <c r="M90" s="521"/>
      <c r="N90" s="521"/>
      <c r="O90" s="521"/>
      <c r="P90" s="521"/>
      <c r="Q90" s="521"/>
      <c r="R90" s="521"/>
      <c r="S90" s="521"/>
      <c r="T90" s="358"/>
      <c r="U90" s="191"/>
    </row>
    <row r="91" spans="1:21" s="84" customFormat="1" ht="14.1" customHeight="1">
      <c r="A91" s="191"/>
      <c r="B91" s="1"/>
      <c r="C91" s="297"/>
      <c r="D91" s="298"/>
      <c r="E91" s="298"/>
      <c r="F91" s="298"/>
      <c r="G91" s="298"/>
      <c r="H91" s="307"/>
      <c r="I91" s="355"/>
      <c r="J91" s="243"/>
      <c r="K91" s="1"/>
      <c r="L91" s="520"/>
      <c r="M91" s="521"/>
      <c r="N91" s="521"/>
      <c r="O91" s="521"/>
      <c r="P91" s="521"/>
      <c r="Q91" s="521"/>
      <c r="R91" s="521"/>
      <c r="S91" s="521"/>
      <c r="T91" s="358"/>
      <c r="U91" s="191"/>
    </row>
    <row r="92" spans="1:21" s="84" customFormat="1" ht="14.1" customHeight="1">
      <c r="A92" s="191"/>
      <c r="B92" s="1"/>
      <c r="C92" s="297"/>
      <c r="D92" s="298"/>
      <c r="E92" s="298"/>
      <c r="F92" s="298"/>
      <c r="G92" s="298"/>
      <c r="H92" s="307"/>
      <c r="I92" s="355"/>
      <c r="J92" s="243"/>
      <c r="K92" s="1"/>
      <c r="L92" s="520"/>
      <c r="M92" s="521"/>
      <c r="N92" s="521"/>
      <c r="O92" s="521"/>
      <c r="P92" s="521"/>
      <c r="Q92" s="521"/>
      <c r="R92" s="521"/>
      <c r="S92" s="521"/>
      <c r="T92" s="358"/>
      <c r="U92" s="191"/>
    </row>
    <row r="93" spans="1:21" s="84" customFormat="1" ht="14.1" customHeight="1">
      <c r="A93" s="191"/>
      <c r="B93" s="1"/>
      <c r="C93" s="297"/>
      <c r="D93" s="298"/>
      <c r="E93" s="298"/>
      <c r="F93" s="298"/>
      <c r="G93" s="298"/>
      <c r="H93" s="307"/>
      <c r="I93" s="355"/>
      <c r="J93" s="243"/>
      <c r="K93" s="1"/>
      <c r="L93" s="520"/>
      <c r="M93" s="521"/>
      <c r="N93" s="521"/>
      <c r="O93" s="521"/>
      <c r="P93" s="521"/>
      <c r="Q93" s="521"/>
      <c r="R93" s="521"/>
      <c r="S93" s="521"/>
      <c r="T93" s="358"/>
      <c r="U93" s="191"/>
    </row>
    <row r="94" spans="1:21" s="84" customFormat="1" ht="14.1" customHeight="1">
      <c r="A94" s="191"/>
      <c r="B94" s="1"/>
      <c r="C94" s="297"/>
      <c r="D94" s="298"/>
      <c r="E94" s="298"/>
      <c r="F94" s="298"/>
      <c r="G94" s="298"/>
      <c r="H94" s="307"/>
      <c r="I94" s="355"/>
      <c r="J94" s="243"/>
      <c r="K94" s="1"/>
      <c r="L94" s="520"/>
      <c r="M94" s="521"/>
      <c r="N94" s="521"/>
      <c r="O94" s="521"/>
      <c r="P94" s="521"/>
      <c r="Q94" s="521"/>
      <c r="R94" s="521"/>
      <c r="S94" s="521"/>
      <c r="T94" s="358"/>
      <c r="U94" s="191"/>
    </row>
    <row r="95" spans="1:21" s="84" customFormat="1" ht="14.1" customHeight="1">
      <c r="A95" s="191"/>
      <c r="B95" s="1"/>
      <c r="C95" s="297"/>
      <c r="D95" s="298"/>
      <c r="E95" s="298"/>
      <c r="F95" s="298"/>
      <c r="G95" s="298"/>
      <c r="H95" s="307"/>
      <c r="I95" s="355"/>
      <c r="J95" s="243"/>
      <c r="K95" s="1"/>
      <c r="L95" s="520"/>
      <c r="M95" s="521"/>
      <c r="N95" s="521"/>
      <c r="O95" s="521"/>
      <c r="P95" s="521"/>
      <c r="Q95" s="521"/>
      <c r="R95" s="521"/>
      <c r="S95" s="521"/>
      <c r="T95" s="358"/>
      <c r="U95" s="191"/>
    </row>
    <row r="96" spans="1:21" s="84" customFormat="1" ht="14.1" customHeight="1">
      <c r="A96" s="191"/>
      <c r="B96" s="1"/>
      <c r="C96" s="297"/>
      <c r="D96" s="298"/>
      <c r="E96" s="298"/>
      <c r="F96" s="298"/>
      <c r="G96" s="298"/>
      <c r="H96" s="307"/>
      <c r="I96" s="355"/>
      <c r="J96" s="243"/>
      <c r="K96" s="1"/>
      <c r="L96" s="520"/>
      <c r="M96" s="521"/>
      <c r="N96" s="521"/>
      <c r="O96" s="521"/>
      <c r="P96" s="521"/>
      <c r="Q96" s="521"/>
      <c r="R96" s="521"/>
      <c r="S96" s="521"/>
      <c r="T96" s="358"/>
      <c r="U96" s="191"/>
    </row>
    <row r="97" spans="1:23" s="84" customFormat="1" ht="14.1" customHeight="1">
      <c r="A97" s="191"/>
      <c r="B97" s="1"/>
      <c r="C97" s="297"/>
      <c r="D97" s="298"/>
      <c r="E97" s="298"/>
      <c r="F97" s="298"/>
      <c r="G97" s="298"/>
      <c r="H97" s="307"/>
      <c r="I97" s="355"/>
      <c r="J97" s="243"/>
      <c r="K97" s="1"/>
      <c r="L97" s="520"/>
      <c r="M97" s="521"/>
      <c r="N97" s="521"/>
      <c r="O97" s="521"/>
      <c r="P97" s="521"/>
      <c r="Q97" s="521"/>
      <c r="R97" s="521"/>
      <c r="S97" s="521"/>
      <c r="T97" s="358"/>
      <c r="U97" s="191"/>
    </row>
    <row r="98" spans="1:23" s="84" customFormat="1" ht="14.1" customHeight="1">
      <c r="A98" s="191"/>
      <c r="B98" s="1"/>
      <c r="C98" s="299"/>
      <c r="D98" s="300"/>
      <c r="E98" s="300"/>
      <c r="F98" s="300"/>
      <c r="G98" s="300"/>
      <c r="H98" s="308"/>
      <c r="I98" s="356"/>
      <c r="J98" s="243"/>
      <c r="K98" s="1"/>
      <c r="L98" s="522"/>
      <c r="M98" s="523"/>
      <c r="N98" s="523"/>
      <c r="O98" s="523"/>
      <c r="P98" s="523"/>
      <c r="Q98" s="523"/>
      <c r="R98" s="523"/>
      <c r="S98" s="523"/>
      <c r="T98" s="359"/>
      <c r="U98" s="191"/>
    </row>
    <row r="99" spans="1:23" s="84" customFormat="1" ht="14.1" customHeight="1" thickBot="1">
      <c r="A99" s="191"/>
      <c r="B99" s="505" t="s">
        <v>5</v>
      </c>
      <c r="C99" s="506"/>
      <c r="D99" s="506"/>
      <c r="E99" s="506"/>
      <c r="F99" s="506"/>
      <c r="G99" s="506"/>
      <c r="H99" s="506"/>
      <c r="I99" s="310" t="n">
        <f>SUM(I88:I98)</f>
        <v>0.0</v>
      </c>
      <c r="J99" s="243"/>
      <c r="K99" s="505" t="s">
        <v>5</v>
      </c>
      <c r="L99" s="506"/>
      <c r="M99" s="506"/>
      <c r="N99" s="506"/>
      <c r="O99" s="506"/>
      <c r="P99" s="506"/>
      <c r="Q99" s="506"/>
      <c r="R99" s="506"/>
      <c r="S99" s="517"/>
      <c r="T99" s="85" t="n">
        <f>SUM(T88:T98)</f>
        <v>0.0</v>
      </c>
      <c r="U99" s="191"/>
    </row>
    <row r="100" spans="1:23" s="84" customFormat="1" ht="13.95" customHeight="1" thickBot="1">
      <c r="A100" s="191"/>
      <c r="B100" s="87"/>
      <c r="C100" s="80"/>
      <c r="D100" s="287"/>
      <c r="E100" s="81"/>
      <c r="F100" s="81"/>
      <c r="G100" s="81"/>
      <c r="H100" s="81"/>
      <c r="I100" s="20"/>
      <c r="J100" s="191"/>
      <c r="K100" s="191"/>
      <c r="L100" s="80"/>
      <c r="M100" s="80"/>
      <c r="N100" s="80"/>
      <c r="O100" s="19"/>
      <c r="P100" s="191"/>
      <c r="Q100" s="191"/>
      <c r="R100" s="191"/>
      <c r="S100" s="191"/>
      <c r="T100" s="191"/>
      <c r="U100" s="191"/>
    </row>
    <row r="101" spans="1:23" s="84" customFormat="1" ht="14.4" customHeight="1">
      <c r="A101" s="191"/>
      <c r="B101" s="376" t="s">
        <v>115</v>
      </c>
      <c r="C101" s="377"/>
      <c r="D101" s="377"/>
      <c r="E101" s="377"/>
      <c r="F101" s="377"/>
      <c r="G101" s="377"/>
      <c r="H101" s="377"/>
      <c r="I101" s="377"/>
      <c r="J101" s="377"/>
      <c r="K101" s="377"/>
      <c r="L101" s="377"/>
      <c r="M101" s="377"/>
      <c r="N101" s="377"/>
      <c r="O101" s="377"/>
      <c r="P101" s="377"/>
      <c r="Q101" s="377"/>
      <c r="R101" s="377"/>
      <c r="S101" s="377"/>
      <c r="T101" s="378"/>
      <c r="U101" s="191"/>
    </row>
    <row r="102" spans="1:23" s="84" customFormat="1" ht="17.399999999999999" customHeight="1">
      <c r="A102" s="191"/>
      <c r="B102" s="255" t="s">
        <v>29</v>
      </c>
      <c r="C102" s="253" t="s">
        <v>91</v>
      </c>
      <c r="D102" s="479"/>
      <c r="E102" s="479"/>
      <c r="F102" s="479"/>
      <c r="G102" s="479"/>
      <c r="H102" s="479"/>
      <c r="I102" s="479"/>
      <c r="J102" s="479"/>
      <c r="K102" s="479"/>
      <c r="L102" s="480"/>
      <c r="M102" s="478" t="s">
        <v>53</v>
      </c>
      <c r="N102" s="479"/>
      <c r="O102" s="479"/>
      <c r="P102" s="479"/>
      <c r="Q102" s="479"/>
      <c r="R102" s="479"/>
      <c r="S102" s="480"/>
      <c r="T102" s="256" t="s">
        <v>30</v>
      </c>
      <c r="U102" s="191"/>
    </row>
    <row r="103" spans="1:23" s="84" customFormat="1" ht="14.1" customHeight="1">
      <c r="A103" s="191"/>
      <c r="B103" s="1" t="n">
        <v>41655.0</v>
      </c>
      <c r="C103" s="217" t="n">
        <v>1.0</v>
      </c>
      <c r="D103" s="524" t="s">
        <v>159</v>
      </c>
      <c r="E103" s="524"/>
      <c r="F103" s="524"/>
      <c r="G103" s="524"/>
      <c r="H103" s="524"/>
      <c r="I103" s="524"/>
      <c r="J103" s="524"/>
      <c r="K103" s="524"/>
      <c r="L103" s="525"/>
      <c r="M103" s="481" t="s">
        <v>160</v>
      </c>
      <c r="N103" s="482"/>
      <c r="O103" s="482"/>
      <c r="P103" s="482"/>
      <c r="Q103" s="482"/>
      <c r="R103" s="482"/>
      <c r="S103" s="483"/>
      <c r="T103" s="357" t="n">
        <v>50.0</v>
      </c>
      <c r="U103" s="191"/>
    </row>
    <row r="104" spans="1:23" s="84" customFormat="1" ht="14.1" customHeight="1">
      <c r="A104" s="191"/>
      <c r="B104" s="1"/>
      <c r="C104" s="217"/>
      <c r="D104" s="379"/>
      <c r="E104" s="379"/>
      <c r="F104" s="379"/>
      <c r="G104" s="379"/>
      <c r="H104" s="379"/>
      <c r="I104" s="379"/>
      <c r="J104" s="379"/>
      <c r="K104" s="379"/>
      <c r="L104" s="380"/>
      <c r="M104" s="370"/>
      <c r="N104" s="371"/>
      <c r="O104" s="371"/>
      <c r="P104" s="371"/>
      <c r="Q104" s="371"/>
      <c r="R104" s="371"/>
      <c r="S104" s="372"/>
      <c r="T104" s="358"/>
      <c r="U104" s="191"/>
    </row>
    <row r="105" spans="1:23" s="84" customFormat="1" ht="14.1" customHeight="1">
      <c r="A105" s="191"/>
      <c r="B105" s="1"/>
      <c r="C105" s="217"/>
      <c r="D105" s="379"/>
      <c r="E105" s="379"/>
      <c r="F105" s="379"/>
      <c r="G105" s="379"/>
      <c r="H105" s="379"/>
      <c r="I105" s="379"/>
      <c r="J105" s="379"/>
      <c r="K105" s="379"/>
      <c r="L105" s="380"/>
      <c r="M105" s="370"/>
      <c r="N105" s="371"/>
      <c r="O105" s="371"/>
      <c r="P105" s="371"/>
      <c r="Q105" s="371"/>
      <c r="R105" s="371"/>
      <c r="S105" s="372"/>
      <c r="T105" s="358"/>
      <c r="U105" s="191"/>
    </row>
    <row r="106" spans="1:23" s="84" customFormat="1" ht="14.1" customHeight="1">
      <c r="A106" s="191"/>
      <c r="B106" s="1"/>
      <c r="C106" s="217"/>
      <c r="D106" s="379"/>
      <c r="E106" s="379"/>
      <c r="F106" s="379"/>
      <c r="G106" s="379"/>
      <c r="H106" s="379"/>
      <c r="I106" s="379"/>
      <c r="J106" s="379"/>
      <c r="K106" s="379"/>
      <c r="L106" s="380"/>
      <c r="M106" s="370"/>
      <c r="N106" s="371"/>
      <c r="O106" s="371"/>
      <c r="P106" s="371"/>
      <c r="Q106" s="371"/>
      <c r="R106" s="371"/>
      <c r="S106" s="372"/>
      <c r="T106" s="358"/>
      <c r="U106" s="191"/>
    </row>
    <row r="107" spans="1:23" s="84" customFormat="1" ht="14.1" customHeight="1">
      <c r="A107" s="191"/>
      <c r="B107" s="1"/>
      <c r="C107" s="217"/>
      <c r="D107" s="379"/>
      <c r="E107" s="379"/>
      <c r="F107" s="379"/>
      <c r="G107" s="379"/>
      <c r="H107" s="379"/>
      <c r="I107" s="379"/>
      <c r="J107" s="379"/>
      <c r="K107" s="379"/>
      <c r="L107" s="380"/>
      <c r="M107" s="370"/>
      <c r="N107" s="371"/>
      <c r="O107" s="371"/>
      <c r="P107" s="371"/>
      <c r="Q107" s="371"/>
      <c r="R107" s="371"/>
      <c r="S107" s="372"/>
      <c r="T107" s="358"/>
      <c r="U107" s="191"/>
    </row>
    <row r="108" spans="1:23" s="84" customFormat="1" ht="14.1" customHeight="1">
      <c r="A108" s="191"/>
      <c r="B108" s="1"/>
      <c r="C108" s="217"/>
      <c r="D108" s="379"/>
      <c r="E108" s="379"/>
      <c r="F108" s="379"/>
      <c r="G108" s="379"/>
      <c r="H108" s="379"/>
      <c r="I108" s="379"/>
      <c r="J108" s="379"/>
      <c r="K108" s="379"/>
      <c r="L108" s="380"/>
      <c r="M108" s="370"/>
      <c r="N108" s="371"/>
      <c r="O108" s="371"/>
      <c r="P108" s="371"/>
      <c r="Q108" s="371"/>
      <c r="R108" s="371"/>
      <c r="S108" s="372"/>
      <c r="T108" s="358"/>
      <c r="U108" s="191"/>
    </row>
    <row r="109" spans="1:23" s="84" customFormat="1" ht="14.1" customHeight="1">
      <c r="A109" s="191"/>
      <c r="B109" s="1"/>
      <c r="C109" s="217"/>
      <c r="D109" s="379"/>
      <c r="E109" s="379"/>
      <c r="F109" s="379"/>
      <c r="G109" s="379"/>
      <c r="H109" s="379"/>
      <c r="I109" s="379"/>
      <c r="J109" s="379"/>
      <c r="K109" s="379"/>
      <c r="L109" s="380"/>
      <c r="M109" s="370"/>
      <c r="N109" s="371"/>
      <c r="O109" s="371"/>
      <c r="P109" s="371"/>
      <c r="Q109" s="371"/>
      <c r="R109" s="371"/>
      <c r="S109" s="372"/>
      <c r="T109" s="358"/>
      <c r="U109" s="191"/>
    </row>
    <row r="110" spans="1:23" s="84" customFormat="1" ht="14.1" customHeight="1">
      <c r="A110" s="191"/>
      <c r="B110" s="1"/>
      <c r="C110" s="217"/>
      <c r="D110" s="379"/>
      <c r="E110" s="379"/>
      <c r="F110" s="379"/>
      <c r="G110" s="379"/>
      <c r="H110" s="379"/>
      <c r="I110" s="379"/>
      <c r="J110" s="379"/>
      <c r="K110" s="379"/>
      <c r="L110" s="380"/>
      <c r="M110" s="370"/>
      <c r="N110" s="371"/>
      <c r="O110" s="371"/>
      <c r="P110" s="371"/>
      <c r="Q110" s="371"/>
      <c r="R110" s="371"/>
      <c r="S110" s="372"/>
      <c r="T110" s="358"/>
      <c r="U110" s="191"/>
    </row>
    <row r="111" spans="1:23" s="84" customFormat="1" ht="14.1" customHeight="1">
      <c r="A111" s="191"/>
      <c r="B111" s="1"/>
      <c r="C111" s="217"/>
      <c r="D111" s="379"/>
      <c r="E111" s="379"/>
      <c r="F111" s="379"/>
      <c r="G111" s="379"/>
      <c r="H111" s="379"/>
      <c r="I111" s="379"/>
      <c r="J111" s="379"/>
      <c r="K111" s="379"/>
      <c r="L111" s="380"/>
      <c r="M111" s="370"/>
      <c r="N111" s="371"/>
      <c r="O111" s="371"/>
      <c r="P111" s="371"/>
      <c r="Q111" s="371"/>
      <c r="R111" s="371"/>
      <c r="S111" s="372"/>
      <c r="T111" s="358"/>
      <c r="U111" s="191"/>
    </row>
    <row r="112" spans="1:23" s="84" customFormat="1" ht="14.1" customHeight="1">
      <c r="A112" s="191"/>
      <c r="B112" s="1"/>
      <c r="C112" s="218"/>
      <c r="D112" s="512"/>
      <c r="E112" s="512"/>
      <c r="F112" s="512"/>
      <c r="G112" s="512"/>
      <c r="H112" s="512"/>
      <c r="I112" s="512"/>
      <c r="J112" s="512"/>
      <c r="K112" s="512"/>
      <c r="L112" s="513"/>
      <c r="M112" s="373"/>
      <c r="N112" s="374"/>
      <c r="O112" s="374"/>
      <c r="P112" s="374"/>
      <c r="Q112" s="374"/>
      <c r="R112" s="374"/>
      <c r="S112" s="375"/>
      <c r="T112" s="359"/>
      <c r="U112" s="191"/>
      <c r="V112" s="191"/>
      <c r="W112" s="191"/>
    </row>
    <row r="113" spans="1:23" s="84" customFormat="1" ht="14.1" customHeight="1" thickBot="1">
      <c r="A113" s="191"/>
      <c r="B113" s="381" t="s">
        <v>5</v>
      </c>
      <c r="C113" s="382"/>
      <c r="D113" s="382"/>
      <c r="E113" s="382"/>
      <c r="F113" s="382"/>
      <c r="G113" s="382"/>
      <c r="H113" s="382"/>
      <c r="I113" s="382"/>
      <c r="J113" s="382"/>
      <c r="K113" s="382"/>
      <c r="L113" s="382"/>
      <c r="M113" s="382"/>
      <c r="N113" s="382"/>
      <c r="O113" s="382"/>
      <c r="P113" s="382"/>
      <c r="Q113" s="382"/>
      <c r="R113" s="382"/>
      <c r="S113" s="241"/>
      <c r="T113" s="193" t="n">
        <f>SUM(T103:T112)</f>
        <v>50.0</v>
      </c>
      <c r="U113" s="191"/>
    </row>
    <row r="114" spans="1:23" s="191" customFormat="1" ht="12.6" customHeight="1" thickBot="1">
      <c r="B114" s="86"/>
      <c r="C114" s="79"/>
      <c r="D114" s="271"/>
      <c r="E114" s="79"/>
      <c r="F114" s="79"/>
      <c r="G114" s="79"/>
      <c r="H114" s="79"/>
      <c r="I114" s="79"/>
      <c r="J114" s="1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V114" s="84"/>
      <c r="W114" s="84"/>
    </row>
    <row r="115" spans="1:23" s="84" customFormat="1" ht="14.4" customHeight="1">
      <c r="A115" s="191"/>
      <c r="B115" s="311" t="s">
        <v>29</v>
      </c>
      <c r="C115" s="475" t="s">
        <v>114</v>
      </c>
      <c r="D115" s="476"/>
      <c r="E115" s="476"/>
      <c r="F115" s="476"/>
      <c r="G115" s="476"/>
      <c r="H115" s="476"/>
      <c r="I115" s="476"/>
      <c r="J115" s="476"/>
      <c r="K115" s="476"/>
      <c r="L115" s="476"/>
      <c r="M115" s="476"/>
      <c r="N115" s="476"/>
      <c r="O115" s="476"/>
      <c r="P115" s="476"/>
      <c r="Q115" s="476"/>
      <c r="R115" s="476"/>
      <c r="S115" s="477"/>
      <c r="T115" s="249" t="s">
        <v>30</v>
      </c>
      <c r="U115" s="191"/>
    </row>
    <row r="116" spans="1:23" s="84" customFormat="1" ht="14.4" customHeight="1">
      <c r="A116" s="191"/>
      <c r="B116" s="1"/>
      <c r="C116" s="495"/>
      <c r="D116" s="496"/>
      <c r="E116" s="496"/>
      <c r="F116" s="496"/>
      <c r="G116" s="496"/>
      <c r="H116" s="496"/>
      <c r="I116" s="496"/>
      <c r="J116" s="496"/>
      <c r="K116" s="496"/>
      <c r="L116" s="496"/>
      <c r="M116" s="496"/>
      <c r="N116" s="496"/>
      <c r="O116" s="496"/>
      <c r="P116" s="496"/>
      <c r="Q116" s="496"/>
      <c r="R116" s="496"/>
      <c r="S116" s="497"/>
      <c r="T116" s="357"/>
      <c r="U116" s="191"/>
    </row>
    <row r="117" spans="1:23" s="84" customFormat="1" ht="14.1" customHeight="1">
      <c r="A117" s="191"/>
      <c r="B117" s="1"/>
      <c r="C117" s="367"/>
      <c r="D117" s="368"/>
      <c r="E117" s="368"/>
      <c r="F117" s="368"/>
      <c r="G117" s="368"/>
      <c r="H117" s="368"/>
      <c r="I117" s="368"/>
      <c r="J117" s="368"/>
      <c r="K117" s="368"/>
      <c r="L117" s="368"/>
      <c r="M117" s="368"/>
      <c r="N117" s="368"/>
      <c r="O117" s="368"/>
      <c r="P117" s="368"/>
      <c r="Q117" s="368"/>
      <c r="R117" s="368"/>
      <c r="S117" s="369"/>
      <c r="T117" s="358"/>
      <c r="U117" s="191"/>
    </row>
    <row r="118" spans="1:23" s="84" customFormat="1" ht="14.1" customHeight="1">
      <c r="A118" s="191"/>
      <c r="B118" s="1"/>
      <c r="C118" s="367"/>
      <c r="D118" s="368"/>
      <c r="E118" s="368"/>
      <c r="F118" s="368"/>
      <c r="G118" s="368"/>
      <c r="H118" s="368"/>
      <c r="I118" s="368"/>
      <c r="J118" s="368"/>
      <c r="K118" s="368"/>
      <c r="L118" s="368"/>
      <c r="M118" s="368"/>
      <c r="N118" s="368"/>
      <c r="O118" s="368"/>
      <c r="P118" s="368"/>
      <c r="Q118" s="368"/>
      <c r="R118" s="368"/>
      <c r="S118" s="369"/>
      <c r="T118" s="358"/>
      <c r="U118" s="191"/>
    </row>
    <row r="119" spans="1:23" s="84" customFormat="1" ht="14.1" customHeight="1">
      <c r="A119" s="191"/>
      <c r="B119" s="1"/>
      <c r="C119" s="367"/>
      <c r="D119" s="368"/>
      <c r="E119" s="368"/>
      <c r="F119" s="368"/>
      <c r="G119" s="368"/>
      <c r="H119" s="368"/>
      <c r="I119" s="368"/>
      <c r="J119" s="368"/>
      <c r="K119" s="368"/>
      <c r="L119" s="368"/>
      <c r="M119" s="368"/>
      <c r="N119" s="368"/>
      <c r="O119" s="368"/>
      <c r="P119" s="368"/>
      <c r="Q119" s="368"/>
      <c r="R119" s="368"/>
      <c r="S119" s="369"/>
      <c r="T119" s="358"/>
      <c r="U119" s="191"/>
    </row>
    <row r="120" spans="1:23" s="84" customFormat="1" ht="14.1" customHeight="1">
      <c r="A120" s="191"/>
      <c r="B120" s="1"/>
      <c r="C120" s="472"/>
      <c r="D120" s="473"/>
      <c r="E120" s="473"/>
      <c r="F120" s="473"/>
      <c r="G120" s="473"/>
      <c r="H120" s="473"/>
      <c r="I120" s="473"/>
      <c r="J120" s="473"/>
      <c r="K120" s="473"/>
      <c r="L120" s="473"/>
      <c r="M120" s="473"/>
      <c r="N120" s="473"/>
      <c r="O120" s="473"/>
      <c r="P120" s="473"/>
      <c r="Q120" s="473"/>
      <c r="R120" s="473"/>
      <c r="S120" s="474"/>
      <c r="T120" s="359"/>
      <c r="U120" s="191"/>
    </row>
    <row r="121" spans="1:23" s="84" customFormat="1" ht="14.1" customHeight="1" thickBot="1">
      <c r="A121" s="191"/>
      <c r="B121" s="381" t="s">
        <v>5</v>
      </c>
      <c r="C121" s="382"/>
      <c r="D121" s="382"/>
      <c r="E121" s="382"/>
      <c r="F121" s="382"/>
      <c r="G121" s="382"/>
      <c r="H121" s="382"/>
      <c r="I121" s="382"/>
      <c r="J121" s="382"/>
      <c r="K121" s="382"/>
      <c r="L121" s="382"/>
      <c r="M121" s="382"/>
      <c r="N121" s="382"/>
      <c r="O121" s="382"/>
      <c r="P121" s="382"/>
      <c r="Q121" s="382"/>
      <c r="R121" s="382"/>
      <c r="S121" s="241"/>
      <c r="T121" s="193" t="n">
        <f>SUM(T116:T120)</f>
        <v>0.0</v>
      </c>
      <c r="U121" s="191"/>
      <c r="V121" s="5"/>
      <c r="W121" s="5"/>
    </row>
    <row r="122" spans="1:23" s="84" customFormat="1" ht="14.1" customHeight="1">
      <c r="A122" s="3"/>
      <c r="B122" s="3"/>
      <c r="C122" s="3"/>
      <c r="D122" s="272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6"/>
      <c r="U122" s="191"/>
    </row>
    <row r="123" spans="1:23" ht="9.6" customHeight="1">
      <c r="U123" s="191"/>
    </row>
    <row r="124" spans="1:23">
      <c r="U124" s="3"/>
    </row>
    <row r="125" spans="1:23">
      <c r="U125" s="3"/>
    </row>
    <row r="126" spans="1:23">
      <c r="U126" s="3"/>
    </row>
    <row r="127" spans="1:23">
      <c r="U127" s="3"/>
    </row>
    <row r="128" spans="1:23">
      <c r="U128" s="3"/>
    </row>
    <row r="129" spans="21:21">
      <c r="U129" s="3"/>
    </row>
    <row r="130" spans="21:21">
      <c r="U130" s="3"/>
    </row>
    <row r="131" spans="21:21">
      <c r="U131" s="3"/>
    </row>
    <row r="132" spans="21:21">
      <c r="U132" s="3"/>
    </row>
    <row r="133" spans="21:21">
      <c r="U133" s="3"/>
    </row>
    <row r="134" spans="21:21">
      <c r="U134" s="3"/>
    </row>
    <row r="135" spans="21:21">
      <c r="U135" s="3"/>
    </row>
    <row r="136" spans="21:21">
      <c r="U136" s="3"/>
    </row>
    <row r="137" spans="21:21">
      <c r="U137" s="3"/>
    </row>
    <row r="138" spans="21:21">
      <c r="U138" s="3"/>
    </row>
    <row r="139" spans="21:21">
      <c r="U139" s="3"/>
    </row>
    <row r="140" spans="21:21">
      <c r="U140" s="3"/>
    </row>
    <row r="141" spans="21:21">
      <c r="U141" s="3"/>
    </row>
    <row r="142" spans="21:21">
      <c r="U142" s="3"/>
    </row>
    <row r="143" spans="21:21">
      <c r="U143" s="3"/>
    </row>
    <row r="144" spans="21:21">
      <c r="U144" s="3"/>
    </row>
    <row r="145" spans="21:21">
      <c r="U145" s="3"/>
    </row>
    <row r="146" spans="21:21">
      <c r="U146" s="3"/>
    </row>
    <row r="147" spans="21:21">
      <c r="U147" s="3"/>
    </row>
    <row r="148" spans="21:21">
      <c r="U148" s="3"/>
    </row>
    <row r="149" spans="21:21">
      <c r="U149" s="3"/>
    </row>
    <row r="150" spans="21:21">
      <c r="U150" s="3"/>
    </row>
    <row r="151" spans="21:21">
      <c r="U151" s="3"/>
    </row>
    <row r="152" spans="21:21">
      <c r="U152" s="3"/>
    </row>
    <row r="153" spans="21:21">
      <c r="U153" s="3"/>
    </row>
    <row r="154" spans="21:21">
      <c r="U154" s="3"/>
    </row>
    <row r="155" spans="21:21">
      <c r="U155" s="3"/>
    </row>
    <row r="156" spans="21:21">
      <c r="U156" s="3"/>
    </row>
    <row r="157" spans="21:21">
      <c r="U157" s="3"/>
    </row>
    <row r="158" spans="21:21">
      <c r="U158" s="3"/>
    </row>
    <row r="159" spans="21:21">
      <c r="U159" s="3"/>
    </row>
    <row r="160" spans="21:21">
      <c r="U160" s="3"/>
    </row>
    <row r="161" spans="21:21">
      <c r="U161" s="3"/>
    </row>
    <row r="162" spans="21:21">
      <c r="U162" s="3"/>
    </row>
    <row r="163" spans="21:21">
      <c r="U163" s="3"/>
    </row>
    <row r="164" spans="21:21">
      <c r="U164" s="3"/>
    </row>
    <row r="165" spans="21:21">
      <c r="U165" s="3"/>
    </row>
    <row r="166" spans="21:21">
      <c r="U166" s="3"/>
    </row>
    <row r="167" spans="21:21">
      <c r="U167" s="3"/>
    </row>
    <row r="168" spans="21:21">
      <c r="U168" s="3"/>
    </row>
    <row r="169" spans="21:21">
      <c r="U169" s="3"/>
    </row>
    <row r="170" spans="21:21">
      <c r="U170" s="3"/>
    </row>
    <row r="171" spans="21:21">
      <c r="U171" s="3"/>
    </row>
    <row r="172" spans="21:21">
      <c r="U172" s="3"/>
    </row>
    <row r="173" spans="21:21">
      <c r="U173" s="3"/>
    </row>
    <row r="174" spans="21:21">
      <c r="U174" s="3"/>
    </row>
    <row r="175" spans="21:21">
      <c r="U175" s="3"/>
    </row>
    <row r="176" spans="21:21">
      <c r="U176" s="3"/>
    </row>
    <row r="177" spans="21:21">
      <c r="U177" s="3"/>
    </row>
  </sheetData>
  <sheetProtection selectLockedCells="1" selectUnlockedCells="1" password="83AF" sheet="true" scenarios="true" objects="true"/>
  <dataConsolidate/>
  <mergeCells count="125">
    <mergeCell ref="K85:S85"/>
    <mergeCell ref="L87:S87"/>
    <mergeCell ref="L88:S88"/>
    <mergeCell ref="L89:S89"/>
    <mergeCell ref="L90:S90"/>
    <mergeCell ref="L91:S91"/>
    <mergeCell ref="L92:S92"/>
    <mergeCell ref="L93:S93"/>
    <mergeCell ref="D112:L112"/>
    <mergeCell ref="L94:S94"/>
    <mergeCell ref="L95:S95"/>
    <mergeCell ref="L96:S96"/>
    <mergeCell ref="L97:S97"/>
    <mergeCell ref="L98:S98"/>
    <mergeCell ref="K99:S99"/>
    <mergeCell ref="D102:L102"/>
    <mergeCell ref="D103:L103"/>
    <mergeCell ref="D104:L104"/>
    <mergeCell ref="B99:H99"/>
    <mergeCell ref="B85:H85"/>
    <mergeCell ref="L76:S76"/>
    <mergeCell ref="L77:S77"/>
    <mergeCell ref="L78:S78"/>
    <mergeCell ref="L79:S79"/>
    <mergeCell ref="L80:S80"/>
    <mergeCell ref="L81:S81"/>
    <mergeCell ref="L82:S82"/>
    <mergeCell ref="L83:S83"/>
    <mergeCell ref="L84:S84"/>
    <mergeCell ref="D62:M62"/>
    <mergeCell ref="D63:M63"/>
    <mergeCell ref="D64:M64"/>
    <mergeCell ref="D65:M65"/>
    <mergeCell ref="D66:M66"/>
    <mergeCell ref="D67:M67"/>
    <mergeCell ref="D69:M69"/>
    <mergeCell ref="D68:M68"/>
    <mergeCell ref="L75:S75"/>
    <mergeCell ref="B71:R71"/>
    <mergeCell ref="L73:S73"/>
    <mergeCell ref="L74:S74"/>
    <mergeCell ref="N65:S65"/>
    <mergeCell ref="N66:S66"/>
    <mergeCell ref="N67:S67"/>
    <mergeCell ref="N68:S68"/>
    <mergeCell ref="N69:S69"/>
    <mergeCell ref="N70:S70"/>
    <mergeCell ref="D70:M70"/>
    <mergeCell ref="B121:R121"/>
    <mergeCell ref="K54:L56"/>
    <mergeCell ref="M54:M56"/>
    <mergeCell ref="C119:S119"/>
    <mergeCell ref="C120:S120"/>
    <mergeCell ref="C115:S115"/>
    <mergeCell ref="M102:S102"/>
    <mergeCell ref="M103:S103"/>
    <mergeCell ref="M104:S104"/>
    <mergeCell ref="M105:S105"/>
    <mergeCell ref="M106:S106"/>
    <mergeCell ref="M107:S107"/>
    <mergeCell ref="M108:S108"/>
    <mergeCell ref="S54:T54"/>
    <mergeCell ref="B60:T60"/>
    <mergeCell ref="N61:S61"/>
    <mergeCell ref="N62:S62"/>
    <mergeCell ref="N63:S63"/>
    <mergeCell ref="N64:S64"/>
    <mergeCell ref="C116:S116"/>
    <mergeCell ref="D61:M61"/>
    <mergeCell ref="S57:T57"/>
    <mergeCell ref="Q57:R57"/>
    <mergeCell ref="C117:S117"/>
    <mergeCell ref="H3:M3"/>
    <mergeCell ref="C5:H5"/>
    <mergeCell ref="D7:H7"/>
    <mergeCell ref="P4:R4"/>
    <mergeCell ref="S4:T4"/>
    <mergeCell ref="L13:L33"/>
    <mergeCell ref="M35:M36"/>
    <mergeCell ref="B35:K36"/>
    <mergeCell ref="S10:T10"/>
    <mergeCell ref="S12:T12"/>
    <mergeCell ref="S13:T13"/>
    <mergeCell ref="S14:T16"/>
    <mergeCell ref="S17:T18"/>
    <mergeCell ref="P10:R10"/>
    <mergeCell ref="L35:L49"/>
    <mergeCell ref="S47:T48"/>
    <mergeCell ref="S49:T50"/>
    <mergeCell ref="P2:T2"/>
    <mergeCell ref="S5:T5"/>
    <mergeCell ref="P5:R5"/>
    <mergeCell ref="S51:T51"/>
    <mergeCell ref="S52:T53"/>
    <mergeCell ref="S40:T42"/>
    <mergeCell ref="S43:T43"/>
    <mergeCell ref="S44:T46"/>
    <mergeCell ref="R19:R20"/>
    <mergeCell ref="Q53:R53"/>
    <mergeCell ref="S39:T39"/>
    <mergeCell ref="S21:T22"/>
    <mergeCell ref="S23:T24"/>
    <mergeCell ref="S19:T20"/>
    <mergeCell ref="S32:T33"/>
    <mergeCell ref="S36:T36"/>
    <mergeCell ref="S37:T37"/>
    <mergeCell ref="S35:T35"/>
    <mergeCell ref="S38:T38"/>
    <mergeCell ref="P28:T30"/>
    <mergeCell ref="P32:R33"/>
    <mergeCell ref="S11:T11"/>
    <mergeCell ref="C118:S118"/>
    <mergeCell ref="M109:S109"/>
    <mergeCell ref="M110:S110"/>
    <mergeCell ref="M111:S111"/>
    <mergeCell ref="M112:S112"/>
    <mergeCell ref="B101:T101"/>
    <mergeCell ref="D105:L105"/>
    <mergeCell ref="D106:L106"/>
    <mergeCell ref="D107:L107"/>
    <mergeCell ref="D108:L108"/>
    <mergeCell ref="D109:L109"/>
    <mergeCell ref="D110:L110"/>
    <mergeCell ref="D111:L111"/>
    <mergeCell ref="B113:R113"/>
  </mergeCells>
  <phoneticPr fontId="9" type="noConversion"/>
  <conditionalFormatting sqref="K54:L56 K58:L58">
    <cfRule type="cellIs" dxfId="108" priority="266" stopIfTrue="1" operator="equal">
      <formula>"ERROR"</formula>
    </cfRule>
  </conditionalFormatting>
  <conditionalFormatting sqref="M54:M56 M58">
    <cfRule type="cellIs" dxfId="107" priority="267" stopIfTrue="1" operator="notEqual">
      <formula>0</formula>
    </cfRule>
  </conditionalFormatting>
  <conditionalFormatting sqref="E38 E13:K13 H38 K38 I88:I98 T88:T98 T103:T112 T116:T120">
    <cfRule type="expression" dxfId="106" priority="264">
      <formula>AND(ISTEXT(E13),LEFT(E13,4)&lt;&gt;"RMB ")</formula>
    </cfRule>
  </conditionalFormatting>
  <conditionalFormatting sqref="B62">
    <cfRule type="expression" dxfId="105" priority="205">
      <formula>AND(ISBLANK(B62),NOT(ISBLANK(T62)))</formula>
    </cfRule>
  </conditionalFormatting>
  <conditionalFormatting sqref="B63:B70">
    <cfRule type="expression" dxfId="104" priority="204">
      <formula>AND(ISBLANK(B63),NOT(ISBLANK(T63)))</formula>
    </cfRule>
  </conditionalFormatting>
  <conditionalFormatting sqref="B103">
    <cfRule type="expression" dxfId="103" priority="199">
      <formula>AND(ISBLANK(B103),NOT(ISBLANK(T103)))</formula>
    </cfRule>
  </conditionalFormatting>
  <conditionalFormatting sqref="B116 B118 B120">
    <cfRule type="expression" dxfId="102" priority="198">
      <formula>AND(ISBLANK(B116),NOT(ISBLANK(T116)))</formula>
    </cfRule>
  </conditionalFormatting>
  <conditionalFormatting sqref="B88:B98">
    <cfRule type="expression" dxfId="101" priority="196">
      <formula>AND(ISBLANK(B88),NOT(ISBLANK(I88)))</formula>
    </cfRule>
  </conditionalFormatting>
  <conditionalFormatting sqref="B74">
    <cfRule type="expression" dxfId="100" priority="180">
      <formula>AND(ISBLANK(B74),NOT(ISBLANK(I74)))</formula>
    </cfRule>
  </conditionalFormatting>
  <conditionalFormatting sqref="J2">
    <cfRule type="notContainsBlanks" dxfId="99" priority="177">
      <formula>LEN(TRIM(J2))&gt;0</formula>
    </cfRule>
  </conditionalFormatting>
  <conditionalFormatting sqref="B75">
    <cfRule type="expression" dxfId="98" priority="176">
      <formula>AND(ISBLANK(B75),NOT(ISBLANK(I75)))</formula>
    </cfRule>
  </conditionalFormatting>
  <conditionalFormatting sqref="B76 B78 B80">
    <cfRule type="expression" dxfId="97" priority="175">
      <formula>AND(ISBLANK(B76),NOT(ISBLANK(I76)))</formula>
    </cfRule>
  </conditionalFormatting>
  <conditionalFormatting sqref="B77 B79">
    <cfRule type="expression" dxfId="96" priority="174">
      <formula>AND(ISBLANK(B77),NOT(ISBLANK(I77)))</formula>
    </cfRule>
  </conditionalFormatting>
  <conditionalFormatting sqref="B78">
    <cfRule type="expression" dxfId="95" priority="173">
      <formula>AND(ISBLANK(B78),NOT(ISBLANK(I78)))</formula>
    </cfRule>
  </conditionalFormatting>
  <conditionalFormatting sqref="B79">
    <cfRule type="expression" dxfId="94" priority="172">
      <formula>AND(ISBLANK(B79),NOT(ISBLANK(I79)))</formula>
    </cfRule>
  </conditionalFormatting>
  <conditionalFormatting sqref="B80">
    <cfRule type="expression" dxfId="93" priority="171">
      <formula>AND(ISBLANK(B80),NOT(ISBLANK(I80)))</formula>
    </cfRule>
  </conditionalFormatting>
  <conditionalFormatting sqref="B81">
    <cfRule type="expression" dxfId="92" priority="170">
      <formula>AND(ISBLANK(B81),NOT(ISBLANK(I81)))</formula>
    </cfRule>
  </conditionalFormatting>
  <conditionalFormatting sqref="B82">
    <cfRule type="expression" dxfId="91" priority="169">
      <formula>AND(ISBLANK(B82),NOT(ISBLANK(I82)))</formula>
    </cfRule>
  </conditionalFormatting>
  <conditionalFormatting sqref="B83">
    <cfRule type="expression" dxfId="90" priority="168">
      <formula>AND(ISBLANK(B83),NOT(ISBLANK(I83)))</formula>
    </cfRule>
  </conditionalFormatting>
  <conditionalFormatting sqref="B84">
    <cfRule type="expression" dxfId="89" priority="167">
      <formula>AND(ISBLANK(B84),NOT(ISBLANK(I84)))</formula>
    </cfRule>
  </conditionalFormatting>
  <conditionalFormatting sqref="B88">
    <cfRule type="expression" dxfId="88" priority="166">
      <formula>AND(ISBLANK(B88),NOT(ISBLANK(I88)))</formula>
    </cfRule>
  </conditionalFormatting>
  <conditionalFormatting sqref="B89">
    <cfRule type="expression" dxfId="87" priority="165">
      <formula>AND(ISBLANK(B89),NOT(ISBLANK(I89)))</formula>
    </cfRule>
  </conditionalFormatting>
  <conditionalFormatting sqref="B90">
    <cfRule type="expression" dxfId="86" priority="164">
      <formula>AND(ISBLANK(B90),NOT(ISBLANK(I90)))</formula>
    </cfRule>
  </conditionalFormatting>
  <conditionalFormatting sqref="B91">
    <cfRule type="expression" dxfId="85" priority="163">
      <formula>AND(ISBLANK(B91),NOT(ISBLANK(I91)))</formula>
    </cfRule>
  </conditionalFormatting>
  <conditionalFormatting sqref="B92">
    <cfRule type="expression" dxfId="84" priority="162">
      <formula>AND(ISBLANK(B92),NOT(ISBLANK(I92)))</formula>
    </cfRule>
  </conditionalFormatting>
  <conditionalFormatting sqref="B93">
    <cfRule type="expression" dxfId="83" priority="161">
      <formula>AND(ISBLANK(B93),NOT(ISBLANK(I93)))</formula>
    </cfRule>
  </conditionalFormatting>
  <conditionalFormatting sqref="B94">
    <cfRule type="expression" dxfId="82" priority="160">
      <formula>AND(ISBLANK(B94),NOT(ISBLANK(I94)))</formula>
    </cfRule>
  </conditionalFormatting>
  <conditionalFormatting sqref="B95">
    <cfRule type="expression" dxfId="81" priority="159">
      <formula>AND(ISBLANK(B95),NOT(ISBLANK(I95)))</formula>
    </cfRule>
  </conditionalFormatting>
  <conditionalFormatting sqref="B96">
    <cfRule type="expression" dxfId="80" priority="158">
      <formula>AND(ISBLANK(B96),NOT(ISBLANK(I96)))</formula>
    </cfRule>
  </conditionalFormatting>
  <conditionalFormatting sqref="B97:B98">
    <cfRule type="expression" dxfId="79" priority="157">
      <formula>AND(ISBLANK(B97),NOT(ISBLANK(I97)))</formula>
    </cfRule>
  </conditionalFormatting>
  <conditionalFormatting sqref="B98">
    <cfRule type="expression" dxfId="78" priority="156">
      <formula>AND(ISBLANK(B98),NOT(ISBLANK(I98)))</formula>
    </cfRule>
  </conditionalFormatting>
  <conditionalFormatting sqref="K74">
    <cfRule type="expression" dxfId="77" priority="153">
      <formula>AND(ISBLANK(K74),NOT(ISBLANK(T74)))</formula>
    </cfRule>
  </conditionalFormatting>
  <conditionalFormatting sqref="K75">
    <cfRule type="expression" dxfId="76" priority="152">
      <formula>AND(ISBLANK(K75),NOT(ISBLANK(T75)))</formula>
    </cfRule>
  </conditionalFormatting>
  <conditionalFormatting sqref="K76">
    <cfRule type="expression" dxfId="75" priority="151">
      <formula>AND(ISBLANK(K76),NOT(ISBLANK(T76)))</formula>
    </cfRule>
  </conditionalFormatting>
  <conditionalFormatting sqref="K77">
    <cfRule type="expression" dxfId="74" priority="150">
      <formula>AND(ISBLANK(K77),NOT(ISBLANK(T77)))</formula>
    </cfRule>
  </conditionalFormatting>
  <conditionalFormatting sqref="K78">
    <cfRule type="expression" dxfId="73" priority="149">
      <formula>AND(ISBLANK(K78),NOT(ISBLANK(T78)))</formula>
    </cfRule>
  </conditionalFormatting>
  <conditionalFormatting sqref="K79">
    <cfRule type="expression" dxfId="72" priority="148">
      <formula>AND(ISBLANK(K79),NOT(ISBLANK(T79)))</formula>
    </cfRule>
  </conditionalFormatting>
  <conditionalFormatting sqref="K80">
    <cfRule type="expression" dxfId="71" priority="147">
      <formula>AND(ISBLANK(K80),NOT(ISBLANK(T80)))</formula>
    </cfRule>
  </conditionalFormatting>
  <conditionalFormatting sqref="K81">
    <cfRule type="expression" dxfId="70" priority="146">
      <formula>AND(ISBLANK(K81),NOT(ISBLANK(T81)))</formula>
    </cfRule>
  </conditionalFormatting>
  <conditionalFormatting sqref="K82">
    <cfRule type="expression" dxfId="69" priority="145">
      <formula>AND(ISBLANK(K82),NOT(ISBLANK(T82)))</formula>
    </cfRule>
  </conditionalFormatting>
  <conditionalFormatting sqref="K83">
    <cfRule type="expression" dxfId="68" priority="144">
      <formula>AND(ISBLANK(K83),NOT(ISBLANK(T83)))</formula>
    </cfRule>
  </conditionalFormatting>
  <conditionalFormatting sqref="K84">
    <cfRule type="expression" dxfId="67" priority="143">
      <formula>AND(ISBLANK(K84),NOT(ISBLANK(T84)))</formula>
    </cfRule>
  </conditionalFormatting>
  <conditionalFormatting sqref="K88">
    <cfRule type="expression" dxfId="66" priority="142">
      <formula>AND(ISBLANK(K88),NOT(ISBLANK(T88)))</formula>
    </cfRule>
  </conditionalFormatting>
  <conditionalFormatting sqref="K89">
    <cfRule type="expression" dxfId="65" priority="141">
      <formula>AND(ISBLANK(K89),NOT(ISBLANK(T89)))</formula>
    </cfRule>
  </conditionalFormatting>
  <conditionalFormatting sqref="K90">
    <cfRule type="expression" dxfId="64" priority="140">
      <formula>AND(ISBLANK(K90),NOT(ISBLANK(T90)))</formula>
    </cfRule>
  </conditionalFormatting>
  <conditionalFormatting sqref="K91">
    <cfRule type="expression" dxfId="63" priority="139">
      <formula>AND(ISBLANK(K91),NOT(ISBLANK(T91)))</formula>
    </cfRule>
  </conditionalFormatting>
  <conditionalFormatting sqref="K92">
    <cfRule type="expression" dxfId="62" priority="138">
      <formula>AND(ISBLANK(K92),NOT(ISBLANK(T92)))</formula>
    </cfRule>
  </conditionalFormatting>
  <conditionalFormatting sqref="K93">
    <cfRule type="expression" dxfId="61" priority="137">
      <formula>AND(ISBLANK(K93),NOT(ISBLANK(T93)))</formula>
    </cfRule>
  </conditionalFormatting>
  <conditionalFormatting sqref="K94">
    <cfRule type="expression" dxfId="60" priority="136">
      <formula>AND(ISBLANK(K94),NOT(ISBLANK(T94)))</formula>
    </cfRule>
  </conditionalFormatting>
  <conditionalFormatting sqref="K95">
    <cfRule type="expression" dxfId="59" priority="135">
      <formula>AND(ISBLANK(K95),NOT(ISBLANK(T95)))</formula>
    </cfRule>
  </conditionalFormatting>
  <conditionalFormatting sqref="K96">
    <cfRule type="expression" dxfId="58" priority="134">
      <formula>AND(ISBLANK(K96),NOT(ISBLANK(T96)))</formula>
    </cfRule>
  </conditionalFormatting>
  <conditionalFormatting sqref="K97">
    <cfRule type="expression" dxfId="57" priority="133">
      <formula>AND(ISBLANK(K97),NOT(ISBLANK(T97)))</formula>
    </cfRule>
  </conditionalFormatting>
  <conditionalFormatting sqref="K98">
    <cfRule type="expression" dxfId="56" priority="132">
      <formula>AND(ISBLANK(K98),NOT(ISBLANK(T98)))</formula>
    </cfRule>
  </conditionalFormatting>
  <conditionalFormatting sqref="B117 B119">
    <cfRule type="expression" dxfId="55" priority="122">
      <formula>AND(ISBLANK(B117),NOT(ISBLANK(T117)))</formula>
    </cfRule>
  </conditionalFormatting>
  <conditionalFormatting sqref="B118">
    <cfRule type="expression" dxfId="54" priority="121">
      <formula>AND(ISBLANK(B118),NOT(ISBLANK(T118)))</formula>
    </cfRule>
  </conditionalFormatting>
  <conditionalFormatting sqref="B119">
    <cfRule type="expression" dxfId="53" priority="120">
      <formula>AND(ISBLANK(B119),NOT(ISBLANK(T119)))</formula>
    </cfRule>
  </conditionalFormatting>
  <conditionalFormatting sqref="B120">
    <cfRule type="expression" dxfId="52" priority="119">
      <formula>AND(ISBLANK(B120),NOT(ISBLANK(T120)))</formula>
    </cfRule>
  </conditionalFormatting>
  <conditionalFormatting sqref="B104 B106 B108">
    <cfRule type="expression" dxfId="51" priority="118">
      <formula>AND(ISBLANK(B104),NOT(ISBLANK(T104)))</formula>
    </cfRule>
  </conditionalFormatting>
  <conditionalFormatting sqref="B105 B107 B109">
    <cfRule type="expression" dxfId="50" priority="117">
      <formula>AND(ISBLANK(B105),NOT(ISBLANK(T105)))</formula>
    </cfRule>
  </conditionalFormatting>
  <conditionalFormatting sqref="B106">
    <cfRule type="expression" dxfId="49" priority="116">
      <formula>AND(ISBLANK(B106),NOT(ISBLANK(T106)))</formula>
    </cfRule>
  </conditionalFormatting>
  <conditionalFormatting sqref="B107">
    <cfRule type="expression" dxfId="48" priority="115">
      <formula>AND(ISBLANK(B107),NOT(ISBLANK(T107)))</formula>
    </cfRule>
  </conditionalFormatting>
  <conditionalFormatting sqref="B108">
    <cfRule type="expression" dxfId="47" priority="114">
      <formula>AND(ISBLANK(B108),NOT(ISBLANK(T108)))</formula>
    </cfRule>
  </conditionalFormatting>
  <conditionalFormatting sqref="B109">
    <cfRule type="expression" dxfId="46" priority="113">
      <formula>AND(ISBLANK(B109),NOT(ISBLANK(T109)))</formula>
    </cfRule>
  </conditionalFormatting>
  <conditionalFormatting sqref="B110">
    <cfRule type="expression" dxfId="45" priority="112">
      <formula>AND(ISBLANK(B110),NOT(ISBLANK(T110)))</formula>
    </cfRule>
  </conditionalFormatting>
  <conditionalFormatting sqref="B111">
    <cfRule type="expression" dxfId="44" priority="111">
      <formula>AND(ISBLANK(B111),NOT(ISBLANK(T111)))</formula>
    </cfRule>
  </conditionalFormatting>
  <conditionalFormatting sqref="B112">
    <cfRule type="expression" dxfId="43" priority="110">
      <formula>AND(ISBLANK(B112),NOT(ISBLANK(T112)))</formula>
    </cfRule>
  </conditionalFormatting>
  <conditionalFormatting sqref="K74">
    <cfRule type="expression" dxfId="42" priority="43">
      <formula>AND(ISBLANK(K74),NOT(ISBLANK(R74)))</formula>
    </cfRule>
  </conditionalFormatting>
  <conditionalFormatting sqref="K75">
    <cfRule type="expression" dxfId="41" priority="42">
      <formula>AND(ISBLANK(K75),NOT(ISBLANK(R75)))</formula>
    </cfRule>
  </conditionalFormatting>
  <conditionalFormatting sqref="K76 K78 K80">
    <cfRule type="expression" dxfId="40" priority="41">
      <formula>AND(ISBLANK(K76),NOT(ISBLANK(R76)))</formula>
    </cfRule>
  </conditionalFormatting>
  <conditionalFormatting sqref="K77 K79">
    <cfRule type="expression" dxfId="39" priority="40">
      <formula>AND(ISBLANK(K77),NOT(ISBLANK(R77)))</formula>
    </cfRule>
  </conditionalFormatting>
  <conditionalFormatting sqref="K78">
    <cfRule type="expression" dxfId="38" priority="39">
      <formula>AND(ISBLANK(K78),NOT(ISBLANK(R78)))</formula>
    </cfRule>
  </conditionalFormatting>
  <conditionalFormatting sqref="K79">
    <cfRule type="expression" dxfId="37" priority="38">
      <formula>AND(ISBLANK(K79),NOT(ISBLANK(R79)))</formula>
    </cfRule>
  </conditionalFormatting>
  <conditionalFormatting sqref="K80">
    <cfRule type="expression" dxfId="36" priority="37">
      <formula>AND(ISBLANK(K80),NOT(ISBLANK(R80)))</formula>
    </cfRule>
  </conditionalFormatting>
  <conditionalFormatting sqref="K81">
    <cfRule type="expression" dxfId="35" priority="36">
      <formula>AND(ISBLANK(K81),NOT(ISBLANK(R81)))</formula>
    </cfRule>
  </conditionalFormatting>
  <conditionalFormatting sqref="K82">
    <cfRule type="expression" dxfId="34" priority="35">
      <formula>AND(ISBLANK(K82),NOT(ISBLANK(R82)))</formula>
    </cfRule>
  </conditionalFormatting>
  <conditionalFormatting sqref="K83">
    <cfRule type="expression" dxfId="33" priority="34">
      <formula>AND(ISBLANK(K83),NOT(ISBLANK(R83)))</formula>
    </cfRule>
  </conditionalFormatting>
  <conditionalFormatting sqref="K84">
    <cfRule type="expression" dxfId="32" priority="33">
      <formula>AND(ISBLANK(K84),NOT(ISBLANK(R84)))</formula>
    </cfRule>
  </conditionalFormatting>
  <conditionalFormatting sqref="B88">
    <cfRule type="expression" dxfId="31" priority="32">
      <formula>AND(ISBLANK(B88),NOT(ISBLANK(I88)))</formula>
    </cfRule>
  </conditionalFormatting>
  <conditionalFormatting sqref="B89">
    <cfRule type="expression" dxfId="30" priority="31">
      <formula>AND(ISBLANK(B89),NOT(ISBLANK(I89)))</formula>
    </cfRule>
  </conditionalFormatting>
  <conditionalFormatting sqref="B90 B92 B94">
    <cfRule type="expression" dxfId="29" priority="30">
      <formula>AND(ISBLANK(B90),NOT(ISBLANK(I90)))</formula>
    </cfRule>
  </conditionalFormatting>
  <conditionalFormatting sqref="B91 B93">
    <cfRule type="expression" dxfId="28" priority="29">
      <formula>AND(ISBLANK(B91),NOT(ISBLANK(I91)))</formula>
    </cfRule>
  </conditionalFormatting>
  <conditionalFormatting sqref="B92">
    <cfRule type="expression" dxfId="27" priority="28">
      <formula>AND(ISBLANK(B92),NOT(ISBLANK(I92)))</formula>
    </cfRule>
  </conditionalFormatting>
  <conditionalFormatting sqref="B93">
    <cfRule type="expression" dxfId="26" priority="27">
      <formula>AND(ISBLANK(B93),NOT(ISBLANK(I93)))</formula>
    </cfRule>
  </conditionalFormatting>
  <conditionalFormatting sqref="B94">
    <cfRule type="expression" dxfId="25" priority="26">
      <formula>AND(ISBLANK(B94),NOT(ISBLANK(I94)))</formula>
    </cfRule>
  </conditionalFormatting>
  <conditionalFormatting sqref="B95">
    <cfRule type="expression" dxfId="24" priority="25">
      <formula>AND(ISBLANK(B95),NOT(ISBLANK(I95)))</formula>
    </cfRule>
  </conditionalFormatting>
  <conditionalFormatting sqref="B96">
    <cfRule type="expression" dxfId="23" priority="24">
      <formula>AND(ISBLANK(B96),NOT(ISBLANK(I96)))</formula>
    </cfRule>
  </conditionalFormatting>
  <conditionalFormatting sqref="B97:B98">
    <cfRule type="expression" dxfId="22" priority="23">
      <formula>AND(ISBLANK(B97),NOT(ISBLANK(I97)))</formula>
    </cfRule>
  </conditionalFormatting>
  <conditionalFormatting sqref="K88">
    <cfRule type="expression" dxfId="21" priority="22">
      <formula>AND(ISBLANK(K88),NOT(ISBLANK(T88)))</formula>
    </cfRule>
  </conditionalFormatting>
  <conditionalFormatting sqref="K89">
    <cfRule type="expression" dxfId="20" priority="21">
      <formula>AND(ISBLANK(K89),NOT(ISBLANK(T89)))</formula>
    </cfRule>
  </conditionalFormatting>
  <conditionalFormatting sqref="K90">
    <cfRule type="expression" dxfId="19" priority="20">
      <formula>AND(ISBLANK(K90),NOT(ISBLANK(T90)))</formula>
    </cfRule>
  </conditionalFormatting>
  <conditionalFormatting sqref="K91">
    <cfRule type="expression" dxfId="18" priority="19">
      <formula>AND(ISBLANK(K91),NOT(ISBLANK(T91)))</formula>
    </cfRule>
  </conditionalFormatting>
  <conditionalFormatting sqref="K92">
    <cfRule type="expression" dxfId="17" priority="18">
      <formula>AND(ISBLANK(K92),NOT(ISBLANK(T92)))</formula>
    </cfRule>
  </conditionalFormatting>
  <conditionalFormatting sqref="K93">
    <cfRule type="expression" dxfId="16" priority="17">
      <formula>AND(ISBLANK(K93),NOT(ISBLANK(T93)))</formula>
    </cfRule>
  </conditionalFormatting>
  <conditionalFormatting sqref="K94">
    <cfRule type="expression" dxfId="15" priority="16">
      <formula>AND(ISBLANK(K94),NOT(ISBLANK(T94)))</formula>
    </cfRule>
  </conditionalFormatting>
  <conditionalFormatting sqref="K95">
    <cfRule type="expression" dxfId="14" priority="15">
      <formula>AND(ISBLANK(K95),NOT(ISBLANK(T95)))</formula>
    </cfRule>
  </conditionalFormatting>
  <conditionalFormatting sqref="K96">
    <cfRule type="expression" dxfId="13" priority="14">
      <formula>AND(ISBLANK(K96),NOT(ISBLANK(T96)))</formula>
    </cfRule>
  </conditionalFormatting>
  <conditionalFormatting sqref="K97">
    <cfRule type="expression" dxfId="12" priority="13">
      <formula>AND(ISBLANK(K97),NOT(ISBLANK(T97)))</formula>
    </cfRule>
  </conditionalFormatting>
  <conditionalFormatting sqref="K98">
    <cfRule type="expression" dxfId="11" priority="12">
      <formula>AND(ISBLANK(K98),NOT(ISBLANK(T98)))</formula>
    </cfRule>
  </conditionalFormatting>
  <conditionalFormatting sqref="K88">
    <cfRule type="expression" dxfId="10" priority="11">
      <formula>AND(ISBLANK(K88),NOT(ISBLANK(R88)))</formula>
    </cfRule>
  </conditionalFormatting>
  <conditionalFormatting sqref="K89">
    <cfRule type="expression" dxfId="9" priority="10">
      <formula>AND(ISBLANK(K89),NOT(ISBLANK(R89)))</formula>
    </cfRule>
  </conditionalFormatting>
  <conditionalFormatting sqref="K90 K92 K94">
    <cfRule type="expression" dxfId="8" priority="9">
      <formula>AND(ISBLANK(K90),NOT(ISBLANK(R90)))</formula>
    </cfRule>
  </conditionalFormatting>
  <conditionalFormatting sqref="K91 K93">
    <cfRule type="expression" dxfId="7" priority="8">
      <formula>AND(ISBLANK(K91),NOT(ISBLANK(R91)))</formula>
    </cfRule>
  </conditionalFormatting>
  <conditionalFormatting sqref="K92">
    <cfRule type="expression" dxfId="6" priority="7">
      <formula>AND(ISBLANK(K92),NOT(ISBLANK(R92)))</formula>
    </cfRule>
  </conditionalFormatting>
  <conditionalFormatting sqref="K93">
    <cfRule type="expression" dxfId="5" priority="6">
      <formula>AND(ISBLANK(K93),NOT(ISBLANK(R93)))</formula>
    </cfRule>
  </conditionalFormatting>
  <conditionalFormatting sqref="K94">
    <cfRule type="expression" dxfId="4" priority="5">
      <formula>AND(ISBLANK(K94),NOT(ISBLANK(R94)))</formula>
    </cfRule>
  </conditionalFormatting>
  <conditionalFormatting sqref="K95">
    <cfRule type="expression" dxfId="3" priority="4">
      <formula>AND(ISBLANK(K95),NOT(ISBLANK(R95)))</formula>
    </cfRule>
  </conditionalFormatting>
  <conditionalFormatting sqref="K96">
    <cfRule type="expression" dxfId="2" priority="3">
      <formula>AND(ISBLANK(K96),NOT(ISBLANK(R96)))</formula>
    </cfRule>
  </conditionalFormatting>
  <conditionalFormatting sqref="K97">
    <cfRule type="expression" dxfId="1" priority="2">
      <formula>AND(ISBLANK(K97),NOT(ISBLANK(R97)))</formula>
    </cfRule>
  </conditionalFormatting>
  <conditionalFormatting sqref="K98">
    <cfRule type="expression" dxfId="0" priority="1">
      <formula>AND(ISBLANK(K98),NOT(ISBLANK(R98)))</formula>
    </cfRule>
  </conditionalFormatting>
  <dataValidations count="2">
    <dataValidation type="date" allowBlank="1" showInputMessage="1" showErrorMessage="1" error="ENSURE DATE IS ENTERED WITHIN THIS REPORT WEEK NO." sqref="B88:B98 J74:K84 J88:K98 B62:B70 B74:B84 B103:B112 B116:B120">
      <formula1>$E$8</formula1>
      <formula2>$K$8</formula2>
    </dataValidation>
    <dataValidation type="decimal" allowBlank="1" showInputMessage="1" showErrorMessage="1" sqref="T103:T112 T116:T120 E38:K38 I74:I84 T62:T70 T74:T84 I88:I98 T88:T98 E13:K33">
      <formula1>0</formula1>
      <formula2>50000</formula2>
    </dataValidation>
  </dataValidations>
  <hyperlinks>
    <hyperlink ref="H3" r:id="rId1"/>
  </hyperlinks>
  <printOptions horizontalCentered="1" verticalCentered="1"/>
  <pageMargins left="0.2" right="0.2" top="0" bottom="0" header="0.2" footer="0.2"/>
  <pageSetup paperSize="9" scale="53" fitToHeight="0" orientation="landscape" r:id="rId2"/>
  <headerFooter alignWithMargins="0">
    <oddFooter>&amp;CT&amp;E-- 2014xls&amp;RPage &amp;P</oddFooter>
  </headerFooter>
  <rowBreaks count="1" manualBreakCount="1">
    <brk id="58" min="1" max="19" man="1"/>
  </rowBreaks>
  <drawing r:id="rId3"/>
  <legacyDrawing r:id="rId4"/>
  <controls>
    <mc:AlternateContent>
      <mc:Choice Requires="x14">
        <control shapeId="2" r:id="rId5" name="CommandButton1">
          <controlPr defaultSize="0" autoLine="0" autoPict="0" r:id="rId6">
            <anchor moveWithCells="1">
              <from>
                <xdr:col>21</xdr:col>
                <xdr:colOff>243840</xdr:colOff>
                <xdr:row>1</xdr:row>
                <xdr:rowOff>365760</xdr:rowOff>
              </from>
              <to>
                <xdr:col>22</xdr:col>
                <xdr:colOff>563880</xdr:colOff>
                <xdr:row>4</xdr:row>
                <xdr:rowOff>22860</xdr:rowOff>
              </to>
            </anchor>
          </controlPr>
        </control>
      </mc:Choice>
      <mc:Fallback>
        <control shapeId="1160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H32"/>
  <sheetViews>
    <sheetView showGridLines="0" showZeros="0" tabSelected="1" view="pageBreakPreview" workbookViewId="0">
      <selection activeCell="H2" sqref="H2"/>
    </sheetView>
  </sheetViews>
  <sheetFormatPr defaultColWidth="9.28515625" defaultRowHeight="12"/>
  <cols>
    <col min="1" max="1" customWidth="true" style="23" width="9.28515625" collapsed="false"/>
    <col min="2" max="2" customWidth="true" style="23" width="13.0" collapsed="false"/>
    <col min="3" max="3" customWidth="true" style="23" width="14.28515625" collapsed="false"/>
    <col min="4" max="4" customWidth="true" style="23" width="9.28515625" collapsed="false"/>
    <col min="5" max="5" customWidth="true" style="23" width="12.28515625" collapsed="false"/>
    <col min="6" max="7" customWidth="true" style="23" width="9.28515625" collapsed="false"/>
    <col min="8" max="8" customWidth="true" style="23" width="12.85546875" collapsed="false"/>
    <col min="9" max="16384" style="23" width="9.28515625" collapsed="false"/>
  </cols>
  <sheetData>
    <row r="1" spans="1:8" ht="60.0" customHeight="true">
      <c r="A1" s="185" t="s">
        <v>31</v>
      </c>
      <c r="B1" s="22"/>
      <c r="C1" s="22"/>
    </row>
    <row r="2" spans="1:8" ht="18" thickBot="1">
      <c r="A2" s="24" t="s">
        <v>65</v>
      </c>
      <c r="G2" s="23" t="s">
        <v>150</v>
      </c>
      <c r="H2" s="364"/>
    </row>
    <row r="3" spans="1:8" ht="12.6" thickTop="1">
      <c r="A3" s="51"/>
      <c r="B3" s="52"/>
      <c r="C3" s="52"/>
      <c r="D3" s="52"/>
      <c r="E3" s="62"/>
      <c r="F3" s="53"/>
      <c r="G3" s="53"/>
      <c r="H3" s="363" t="s">
        <v>40</v>
      </c>
    </row>
    <row r="4" spans="1:8">
      <c r="A4" s="76" t="s">
        <v>57</v>
      </c>
      <c r="B4" s="72"/>
      <c r="C4" s="45"/>
      <c r="D4" s="45"/>
      <c r="E4" s="63"/>
      <c r="F4" s="54"/>
      <c r="G4" s="54"/>
      <c r="H4" s="54"/>
    </row>
    <row r="5" spans="1:8">
      <c r="A5" s="44"/>
      <c r="B5" s="45"/>
      <c r="C5" s="45"/>
      <c r="D5" s="45"/>
      <c r="E5" s="63"/>
      <c r="F5" s="54"/>
      <c r="G5" s="54"/>
      <c r="H5" s="54"/>
    </row>
    <row r="6" spans="1:8">
      <c r="A6" s="44"/>
      <c r="B6" s="45"/>
      <c r="C6" s="45"/>
      <c r="D6" s="45"/>
      <c r="E6" s="63"/>
      <c r="F6" s="55" t="s">
        <v>41</v>
      </c>
      <c r="G6" s="55" t="s">
        <v>116</v>
      </c>
      <c r="H6" s="55" t="s">
        <v>116</v>
      </c>
    </row>
    <row r="7" spans="1:8">
      <c r="A7" s="44" t="s">
        <v>42</v>
      </c>
      <c r="B7" s="45"/>
      <c r="C7" s="45"/>
      <c r="D7" s="45"/>
      <c r="E7" s="63"/>
      <c r="F7" s="54"/>
      <c r="G7" s="68" t="n">
        <v>0.0</v>
      </c>
      <c r="H7" s="56"/>
    </row>
    <row r="8" spans="1:8">
      <c r="A8" s="44"/>
      <c r="B8" s="45"/>
      <c r="C8" s="45"/>
      <c r="D8" s="45"/>
      <c r="E8" s="63"/>
      <c r="F8" s="54"/>
      <c r="G8" s="56" t="n">
        <f>SUM(G7:G7)</f>
        <v>0.0</v>
      </c>
      <c r="H8" s="56"/>
    </row>
    <row r="9" spans="1:8">
      <c r="A9" s="44" t="s">
        <v>43</v>
      </c>
      <c r="B9" s="45"/>
      <c r="C9" s="45"/>
      <c r="D9" s="45"/>
      <c r="E9" s="63"/>
      <c r="F9" s="66" t="n">
        <v>0.0</v>
      </c>
      <c r="G9" s="56"/>
      <c r="H9" s="56" t="n">
        <f>G8*F9</f>
        <v>0.0</v>
      </c>
    </row>
    <row r="10" spans="1:8">
      <c r="A10" s="44"/>
      <c r="B10" s="45"/>
      <c r="C10" s="45"/>
      <c r="D10" s="45"/>
      <c r="E10" s="63"/>
      <c r="F10" s="54"/>
      <c r="G10" s="56"/>
      <c r="H10" s="57" t="s">
        <v>22</v>
      </c>
    </row>
    <row r="11" spans="1:8">
      <c r="A11" s="44" t="s">
        <v>44</v>
      </c>
      <c r="B11" s="45"/>
      <c r="C11" s="45"/>
      <c r="D11" s="45"/>
      <c r="E11" s="63"/>
      <c r="F11" s="54"/>
      <c r="G11" s="68" t="n">
        <v>0.0</v>
      </c>
      <c r="H11" s="58" t="n">
        <f>G11</f>
        <v>0.0</v>
      </c>
    </row>
    <row r="12" spans="1:8">
      <c r="A12" s="44" t="s">
        <v>133</v>
      </c>
      <c r="B12" s="45"/>
      <c r="C12" s="45"/>
      <c r="D12" s="45"/>
      <c r="E12" s="63"/>
      <c r="F12" s="54"/>
      <c r="G12" s="68" t="n">
        <v>0.0</v>
      </c>
      <c r="H12" s="58" t="n">
        <f>G12</f>
        <v>0.0</v>
      </c>
    </row>
    <row r="13" spans="1:8">
      <c r="A13" s="44" t="s">
        <v>45</v>
      </c>
      <c r="B13" s="45"/>
      <c r="C13" s="45"/>
      <c r="D13" s="45"/>
      <c r="E13" s="63"/>
      <c r="F13" s="54"/>
      <c r="G13" s="68" t="n">
        <v>0.0</v>
      </c>
      <c r="H13" s="56" t="n">
        <f>+G13</f>
        <v>0.0</v>
      </c>
    </row>
    <row r="14" spans="1:8" ht="13.8" thickBot="1">
      <c r="A14" s="47" t="s">
        <v>54</v>
      </c>
      <c r="B14" s="48"/>
      <c r="C14" s="48"/>
      <c r="D14" s="48"/>
      <c r="E14" s="64"/>
      <c r="F14" s="67"/>
      <c r="G14" s="60"/>
      <c r="H14" s="59" t="n">
        <f>SUM(H9:H13)</f>
        <v>0.0</v>
      </c>
    </row>
    <row r="15" spans="1:8" ht="12.6" thickBot="1">
      <c r="A15" s="49"/>
      <c r="B15" s="50"/>
      <c r="C15" s="50"/>
      <c r="D15" s="50"/>
      <c r="E15" s="65"/>
      <c r="F15" s="61"/>
      <c r="G15" s="61"/>
      <c r="H15" s="61"/>
    </row>
    <row r="16" spans="1:8" ht="12.6" thickTop="1">
      <c r="A16" s="51"/>
      <c r="B16" s="52"/>
      <c r="C16" s="52"/>
      <c r="D16" s="52"/>
      <c r="E16" s="62"/>
      <c r="F16" s="53"/>
      <c r="G16" s="53"/>
      <c r="H16" s="73" t="s">
        <v>40</v>
      </c>
    </row>
    <row r="17" spans="1:8" ht="13.2">
      <c r="A17" s="76" t="s">
        <v>67</v>
      </c>
      <c r="B17" s="77"/>
      <c r="C17" s="77"/>
      <c r="D17" s="77"/>
      <c r="E17" s="78"/>
      <c r="F17" s="54"/>
      <c r="G17" s="54"/>
      <c r="H17" s="55"/>
    </row>
    <row r="18" spans="1:8" ht="13.2">
      <c r="A18" s="46"/>
      <c r="B18" s="48"/>
      <c r="C18" s="48"/>
      <c r="D18" s="48"/>
      <c r="E18" s="64"/>
      <c r="F18" s="54"/>
      <c r="G18" s="54"/>
      <c r="H18" s="55"/>
    </row>
    <row r="19" spans="1:8" ht="13.2">
      <c r="A19" s="46"/>
      <c r="B19" s="48"/>
      <c r="C19" s="48"/>
      <c r="D19" s="48"/>
      <c r="E19" s="64"/>
      <c r="F19" s="67"/>
      <c r="G19" s="67"/>
      <c r="H19" s="55" t="s">
        <v>116</v>
      </c>
    </row>
    <row r="20" spans="1:8">
      <c r="A20" s="44" t="s">
        <v>68</v>
      </c>
      <c r="B20" s="45"/>
      <c r="C20" s="45"/>
      <c r="D20" s="45"/>
      <c r="E20" s="63"/>
      <c r="F20" s="54"/>
      <c r="G20" s="69" t="n">
        <v>0.0</v>
      </c>
      <c r="H20" s="56" t="n">
        <f>+G20</f>
        <v>0.0</v>
      </c>
    </row>
    <row r="21" spans="1:8">
      <c r="A21" s="44" t="s">
        <v>64</v>
      </c>
      <c r="B21" s="45"/>
      <c r="C21" s="45"/>
      <c r="D21" s="45"/>
      <c r="E21" s="63"/>
      <c r="F21" s="54"/>
      <c r="G21" s="69" t="n">
        <v>0.0</v>
      </c>
      <c r="H21" s="56" t="n">
        <f>+G21</f>
        <v>0.0</v>
      </c>
    </row>
    <row r="22" spans="1:8" ht="13.8" thickBot="1">
      <c r="A22" s="47" t="s">
        <v>55</v>
      </c>
      <c r="B22" s="45"/>
      <c r="C22" s="45"/>
      <c r="D22" s="45"/>
      <c r="E22" s="63"/>
      <c r="F22" s="54"/>
      <c r="G22" s="54"/>
      <c r="H22" s="59" t="n">
        <f>SUM(H20:H21)</f>
        <v>0.0</v>
      </c>
    </row>
    <row r="23" spans="1:8" ht="12.6" thickBot="1">
      <c r="A23" s="49"/>
      <c r="B23" s="50"/>
      <c r="C23" s="50"/>
      <c r="D23" s="50"/>
      <c r="E23" s="65"/>
      <c r="F23" s="61"/>
      <c r="G23" s="61"/>
      <c r="H23" s="61"/>
    </row>
    <row r="24" spans="1:8" ht="12.6" thickTop="1">
      <c r="A24" s="44"/>
      <c r="B24" s="45"/>
      <c r="C24" s="45"/>
      <c r="D24" s="45"/>
      <c r="E24" s="63"/>
      <c r="F24" s="54"/>
      <c r="G24" s="54"/>
      <c r="H24" s="54"/>
    </row>
    <row r="25" spans="1:8" ht="15">
      <c r="A25" s="71" t="s">
        <v>56</v>
      </c>
      <c r="B25" s="72"/>
      <c r="C25" s="72"/>
      <c r="D25" s="72"/>
      <c r="E25" s="63"/>
      <c r="F25" s="54"/>
      <c r="G25" s="54"/>
      <c r="H25" s="70" t="n">
        <f>+H14+H22</f>
        <v>0.0</v>
      </c>
    </row>
    <row r="26" spans="1:8" ht="12.6" thickBot="1">
      <c r="A26" s="49"/>
      <c r="B26" s="50"/>
      <c r="C26" s="50"/>
      <c r="D26" s="50"/>
      <c r="E26" s="65"/>
      <c r="F26" s="61"/>
      <c r="G26" s="61"/>
      <c r="H26" s="61"/>
    </row>
    <row r="27" spans="1:8" ht="12.6" thickTop="1"/>
    <row r="29" spans="1:8" ht="13.8" thickBot="1">
      <c r="A29" s="22" t="s">
        <v>46</v>
      </c>
      <c r="B29" s="22"/>
      <c r="C29" s="22"/>
      <c r="D29" s="22"/>
    </row>
    <row r="30" spans="1:8" ht="13.2">
      <c r="A30" s="25" t="s">
        <v>47</v>
      </c>
      <c r="B30" s="26" t="s">
        <v>48</v>
      </c>
      <c r="C30" s="38" t="n">
        <f>+FORM!P5</f>
        <v>0.0</v>
      </c>
      <c r="D30" s="26" t="s">
        <v>49</v>
      </c>
      <c r="E30" s="27" t="s">
        <v>22</v>
      </c>
    </row>
    <row r="31" spans="1:8">
      <c r="A31" s="28" t="s">
        <v>50</v>
      </c>
      <c r="B31" s="29" t="s">
        <v>51</v>
      </c>
      <c r="C31" s="39" t="n">
        <f>+D31</f>
        <v>0.0</v>
      </c>
      <c r="D31" s="30" t="n">
        <f>+H25</f>
        <v>0.0</v>
      </c>
      <c r="E31" s="31"/>
    </row>
    <row r="32" spans="1:8" ht="12.6" thickBot="1">
      <c r="A32" s="32" t="s">
        <v>52</v>
      </c>
      <c r="B32" s="33"/>
      <c r="C32" s="40" t="n">
        <f>SUM(C31:C31)</f>
        <v>0.0</v>
      </c>
      <c r="D32" s="34" t="n">
        <f>SUM(D31:D31)</f>
        <v>0.0</v>
      </c>
      <c r="E32" s="35"/>
    </row>
  </sheetData>
  <sheetProtection password="8879" sheet="true" objects="true" scenarios="true"/>
  <phoneticPr fontId="9" type="noConversion"/>
  <pageMargins left="0.75" right="0.75" top="0.32" bottom="0.38" header="0.22" footer="0.22"/>
  <pageSetup paperSize="9" orientation="landscape" r:id="rId1"/>
  <headerFooter alignWithMargins="0">
    <oddFooter>&amp;C&amp;F</oddFooter>
  </headerFooter>
  <drawing r:id="rId4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Instructions</vt:lpstr>
      <vt:lpstr>FORM</vt:lpstr>
      <vt:lpstr>Telephone</vt:lpstr>
      <vt:lpstr>FORM!Print_Area</vt:lpstr>
      <vt:lpstr>Telephone!Print_Area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1998-04-29T07:23:13Z</dcterms:created>
  <dc:creator>G&amp;A</dc:creator>
  <cp:lastModifiedBy>Teradyne User</cp:lastModifiedBy>
  <cp:lastPrinted>2018-01-02T12:45:28Z</cp:lastPrinted>
  <dcterms:modified xsi:type="dcterms:W3CDTF">2018-01-02T13:49:56Z</dcterms:modified>
</cp:coreProperties>
</file>